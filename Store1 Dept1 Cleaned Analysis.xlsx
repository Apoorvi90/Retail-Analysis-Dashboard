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hidePivotFieldList="1"/>
  <xr:revisionPtr revIDLastSave="0" documentId="8_{989BFA18-2346-4C7C-B61A-EA758945FFF8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Sales_Data" sheetId="1" r:id="rId1"/>
    <sheet name="Features" sheetId="2" r:id="rId2"/>
  </sheets>
  <definedNames>
    <definedName name="_xlnm._FilterDatabase" localSheetId="0" hidden="1">Sales_Data!$A$1:$E$1</definedName>
    <definedName name="Inventory">Sales_Data!$J$2:$J$144</definedName>
    <definedName name="Weekly_Sales">Sales_Data!$D$2:$D$144</definedName>
  </definedNames>
  <calcPr calcId="191028"/>
  <pivotCaches>
    <pivotCache cacheId="7973" r:id="rId3"/>
    <pivotCache cacheId="797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2" i="2"/>
  <c r="R2" i="1"/>
  <c r="R3" i="1"/>
  <c r="R4" i="1"/>
  <c r="N3" i="1"/>
  <c r="Q3" i="1" s="1"/>
  <c r="N4" i="1"/>
  <c r="Q4" i="1" s="1"/>
  <c r="N5" i="1"/>
  <c r="Q5" i="1" s="1"/>
  <c r="N6" i="1"/>
  <c r="Q6" i="1" s="1"/>
  <c r="N7" i="1"/>
  <c r="Q7" i="1" s="1"/>
  <c r="N8" i="1"/>
  <c r="Q8" i="1" s="1"/>
  <c r="N9" i="1"/>
  <c r="Q9" i="1" s="1"/>
  <c r="N10" i="1"/>
  <c r="Q10" i="1" s="1"/>
  <c r="N11" i="1"/>
  <c r="Q11" i="1" s="1"/>
  <c r="N12" i="1"/>
  <c r="Q12" i="1" s="1"/>
  <c r="N13" i="1"/>
  <c r="Q13" i="1" s="1"/>
  <c r="N14" i="1"/>
  <c r="Q14" i="1" s="1"/>
  <c r="N15" i="1"/>
  <c r="Q15" i="1" s="1"/>
  <c r="N16" i="1"/>
  <c r="Q16" i="1" s="1"/>
  <c r="N17" i="1"/>
  <c r="Q17" i="1" s="1"/>
  <c r="N18" i="1"/>
  <c r="Q18" i="1" s="1"/>
  <c r="N19" i="1"/>
  <c r="Q19" i="1" s="1"/>
  <c r="N20" i="1"/>
  <c r="Q20" i="1" s="1"/>
  <c r="N21" i="1"/>
  <c r="Q21" i="1" s="1"/>
  <c r="N22" i="1"/>
  <c r="Q22" i="1" s="1"/>
  <c r="N23" i="1"/>
  <c r="Q23" i="1" s="1"/>
  <c r="N24" i="1"/>
  <c r="Q24" i="1" s="1"/>
  <c r="N25" i="1"/>
  <c r="Q25" i="1" s="1"/>
  <c r="N26" i="1"/>
  <c r="Q26" i="1" s="1"/>
  <c r="N27" i="1"/>
  <c r="Q27" i="1" s="1"/>
  <c r="N28" i="1"/>
  <c r="Q28" i="1" s="1"/>
  <c r="N29" i="1"/>
  <c r="Q29" i="1" s="1"/>
  <c r="N30" i="1"/>
  <c r="Q30" i="1" s="1"/>
  <c r="N31" i="1"/>
  <c r="Q31" i="1" s="1"/>
  <c r="N32" i="1"/>
  <c r="Q32" i="1" s="1"/>
  <c r="N33" i="1"/>
  <c r="Q33" i="1" s="1"/>
  <c r="N34" i="1"/>
  <c r="Q34" i="1" s="1"/>
  <c r="N35" i="1"/>
  <c r="Q35" i="1" s="1"/>
  <c r="N36" i="1"/>
  <c r="Q36" i="1" s="1"/>
  <c r="N37" i="1"/>
  <c r="Q37" i="1" s="1"/>
  <c r="N38" i="1"/>
  <c r="Q38" i="1" s="1"/>
  <c r="N39" i="1"/>
  <c r="Q39" i="1" s="1"/>
  <c r="N40" i="1"/>
  <c r="Q40" i="1" s="1"/>
  <c r="N41" i="1"/>
  <c r="Q41" i="1" s="1"/>
  <c r="N42" i="1"/>
  <c r="Q42" i="1" s="1"/>
  <c r="N43" i="1"/>
  <c r="Q43" i="1" s="1"/>
  <c r="N44" i="1"/>
  <c r="Q44" i="1" s="1"/>
  <c r="N45" i="1"/>
  <c r="Q45" i="1" s="1"/>
  <c r="N46" i="1"/>
  <c r="Q46" i="1" s="1"/>
  <c r="N47" i="1"/>
  <c r="Q47" i="1" s="1"/>
  <c r="N48" i="1"/>
  <c r="Q48" i="1" s="1"/>
  <c r="N49" i="1"/>
  <c r="Q49" i="1" s="1"/>
  <c r="N50" i="1"/>
  <c r="Q50" i="1" s="1"/>
  <c r="N51" i="1"/>
  <c r="Q51" i="1" s="1"/>
  <c r="N52" i="1"/>
  <c r="Q52" i="1" s="1"/>
  <c r="N53" i="1"/>
  <c r="Q53" i="1" s="1"/>
  <c r="N54" i="1"/>
  <c r="Q54" i="1" s="1"/>
  <c r="N55" i="1"/>
  <c r="Q55" i="1" s="1"/>
  <c r="N56" i="1"/>
  <c r="Q56" i="1" s="1"/>
  <c r="N57" i="1"/>
  <c r="Q57" i="1" s="1"/>
  <c r="N58" i="1"/>
  <c r="Q58" i="1" s="1"/>
  <c r="N59" i="1"/>
  <c r="Q59" i="1" s="1"/>
  <c r="N60" i="1"/>
  <c r="Q60" i="1" s="1"/>
  <c r="N61" i="1"/>
  <c r="Q61" i="1" s="1"/>
  <c r="N62" i="1"/>
  <c r="Q62" i="1" s="1"/>
  <c r="N63" i="1"/>
  <c r="Q63" i="1" s="1"/>
  <c r="N64" i="1"/>
  <c r="Q64" i="1" s="1"/>
  <c r="N65" i="1"/>
  <c r="Q65" i="1" s="1"/>
  <c r="N66" i="1"/>
  <c r="Q66" i="1" s="1"/>
  <c r="N67" i="1"/>
  <c r="Q67" i="1" s="1"/>
  <c r="N68" i="1"/>
  <c r="Q68" i="1" s="1"/>
  <c r="N69" i="1"/>
  <c r="Q69" i="1" s="1"/>
  <c r="N70" i="1"/>
  <c r="Q70" i="1" s="1"/>
  <c r="N71" i="1"/>
  <c r="Q71" i="1" s="1"/>
  <c r="N72" i="1"/>
  <c r="Q72" i="1" s="1"/>
  <c r="N73" i="1"/>
  <c r="Q73" i="1" s="1"/>
  <c r="N74" i="1"/>
  <c r="Q74" i="1" s="1"/>
  <c r="N75" i="1"/>
  <c r="Q75" i="1" s="1"/>
  <c r="N76" i="1"/>
  <c r="Q76" i="1" s="1"/>
  <c r="N77" i="1"/>
  <c r="Q77" i="1" s="1"/>
  <c r="N78" i="1"/>
  <c r="Q78" i="1" s="1"/>
  <c r="N79" i="1"/>
  <c r="Q79" i="1" s="1"/>
  <c r="N80" i="1"/>
  <c r="Q80" i="1" s="1"/>
  <c r="N81" i="1"/>
  <c r="Q81" i="1" s="1"/>
  <c r="N82" i="1"/>
  <c r="Q82" i="1" s="1"/>
  <c r="N83" i="1"/>
  <c r="Q83" i="1" s="1"/>
  <c r="N84" i="1"/>
  <c r="Q84" i="1" s="1"/>
  <c r="N85" i="1"/>
  <c r="Q85" i="1" s="1"/>
  <c r="N86" i="1"/>
  <c r="Q86" i="1" s="1"/>
  <c r="N87" i="1"/>
  <c r="Q87" i="1" s="1"/>
  <c r="N88" i="1"/>
  <c r="Q88" i="1" s="1"/>
  <c r="N89" i="1"/>
  <c r="Q89" i="1" s="1"/>
  <c r="N90" i="1"/>
  <c r="Q90" i="1" s="1"/>
  <c r="N91" i="1"/>
  <c r="Q91" i="1" s="1"/>
  <c r="N92" i="1"/>
  <c r="Q92" i="1" s="1"/>
  <c r="N93" i="1"/>
  <c r="Q93" i="1" s="1"/>
  <c r="N94" i="1"/>
  <c r="Q94" i="1" s="1"/>
  <c r="N95" i="1"/>
  <c r="Q95" i="1" s="1"/>
  <c r="N96" i="1"/>
  <c r="Q96" i="1" s="1"/>
  <c r="N97" i="1"/>
  <c r="Q97" i="1" s="1"/>
  <c r="N98" i="1"/>
  <c r="Q98" i="1" s="1"/>
  <c r="N99" i="1"/>
  <c r="Q99" i="1" s="1"/>
  <c r="N100" i="1"/>
  <c r="Q100" i="1" s="1"/>
  <c r="N101" i="1"/>
  <c r="Q101" i="1" s="1"/>
  <c r="N102" i="1"/>
  <c r="Q102" i="1" s="1"/>
  <c r="N103" i="1"/>
  <c r="Q103" i="1" s="1"/>
  <c r="N104" i="1"/>
  <c r="Q104" i="1" s="1"/>
  <c r="N105" i="1"/>
  <c r="Q105" i="1" s="1"/>
  <c r="N106" i="1"/>
  <c r="Q106" i="1" s="1"/>
  <c r="N107" i="1"/>
  <c r="Q107" i="1" s="1"/>
  <c r="N108" i="1"/>
  <c r="Q108" i="1" s="1"/>
  <c r="N109" i="1"/>
  <c r="Q109" i="1" s="1"/>
  <c r="N110" i="1"/>
  <c r="Q110" i="1" s="1"/>
  <c r="N111" i="1"/>
  <c r="Q111" i="1" s="1"/>
  <c r="N112" i="1"/>
  <c r="Q112" i="1" s="1"/>
  <c r="N113" i="1"/>
  <c r="Q113" i="1" s="1"/>
  <c r="N114" i="1"/>
  <c r="Q114" i="1" s="1"/>
  <c r="N115" i="1"/>
  <c r="Q115" i="1" s="1"/>
  <c r="N116" i="1"/>
  <c r="Q116" i="1" s="1"/>
  <c r="N117" i="1"/>
  <c r="Q117" i="1" s="1"/>
  <c r="N118" i="1"/>
  <c r="Q118" i="1" s="1"/>
  <c r="N119" i="1"/>
  <c r="Q119" i="1" s="1"/>
  <c r="N120" i="1"/>
  <c r="Q120" i="1" s="1"/>
  <c r="N121" i="1"/>
  <c r="Q121" i="1" s="1"/>
  <c r="N122" i="1"/>
  <c r="Q122" i="1" s="1"/>
  <c r="N123" i="1"/>
  <c r="Q123" i="1" s="1"/>
  <c r="N124" i="1"/>
  <c r="Q124" i="1" s="1"/>
  <c r="N125" i="1"/>
  <c r="Q125" i="1" s="1"/>
  <c r="N126" i="1"/>
  <c r="Q126" i="1" s="1"/>
  <c r="N127" i="1"/>
  <c r="Q127" i="1" s="1"/>
  <c r="N128" i="1"/>
  <c r="Q128" i="1" s="1"/>
  <c r="N129" i="1"/>
  <c r="Q129" i="1" s="1"/>
  <c r="N130" i="1"/>
  <c r="Q130" i="1" s="1"/>
  <c r="N131" i="1"/>
  <c r="Q131" i="1" s="1"/>
  <c r="N132" i="1"/>
  <c r="Q132" i="1" s="1"/>
  <c r="N133" i="1"/>
  <c r="Q133" i="1" s="1"/>
  <c r="N134" i="1"/>
  <c r="Q134" i="1" s="1"/>
  <c r="N135" i="1"/>
  <c r="Q135" i="1" s="1"/>
  <c r="N136" i="1"/>
  <c r="Q136" i="1" s="1"/>
  <c r="N137" i="1"/>
  <c r="Q137" i="1" s="1"/>
  <c r="N138" i="1"/>
  <c r="Q138" i="1" s="1"/>
  <c r="N139" i="1"/>
  <c r="Q139" i="1" s="1"/>
  <c r="N140" i="1"/>
  <c r="Q140" i="1" s="1"/>
  <c r="N141" i="1"/>
  <c r="Q141" i="1" s="1"/>
  <c r="N142" i="1"/>
  <c r="Q142" i="1" s="1"/>
  <c r="N143" i="1"/>
  <c r="Q143" i="1" s="1"/>
  <c r="N144" i="1"/>
  <c r="Q144" i="1" s="1"/>
  <c r="K13" i="1"/>
  <c r="K6" i="1"/>
  <c r="K7" i="1"/>
  <c r="K8" i="1"/>
  <c r="K9" i="1"/>
  <c r="K10" i="1"/>
  <c r="K11" i="1"/>
  <c r="K12" i="1"/>
  <c r="L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5" i="1"/>
  <c r="J2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T8" i="1"/>
  <c r="T20" i="1" s="1"/>
  <c r="T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O144" i="1" l="1"/>
  <c r="P144" i="1"/>
  <c r="O143" i="1"/>
  <c r="P143" i="1"/>
  <c r="O142" i="1"/>
  <c r="P142" i="1"/>
  <c r="O141" i="1"/>
  <c r="P141" i="1"/>
  <c r="O140" i="1"/>
  <c r="P140" i="1"/>
  <c r="O139" i="1"/>
  <c r="P139" i="1"/>
  <c r="O138" i="1"/>
  <c r="P138" i="1"/>
  <c r="O137" i="1"/>
  <c r="P137" i="1"/>
  <c r="O136" i="1"/>
  <c r="P136" i="1"/>
  <c r="O135" i="1"/>
  <c r="P135" i="1"/>
  <c r="O134" i="1"/>
  <c r="P134" i="1"/>
  <c r="O133" i="1"/>
  <c r="P133" i="1"/>
  <c r="O132" i="1"/>
  <c r="P132" i="1"/>
  <c r="O131" i="1"/>
  <c r="P131" i="1"/>
  <c r="O130" i="1"/>
  <c r="P130" i="1"/>
  <c r="O129" i="1"/>
  <c r="P129" i="1"/>
  <c r="O128" i="1"/>
  <c r="P128" i="1"/>
  <c r="O127" i="1"/>
  <c r="P127" i="1"/>
  <c r="O126" i="1"/>
  <c r="P126" i="1"/>
  <c r="O125" i="1"/>
  <c r="P125" i="1"/>
  <c r="O124" i="1"/>
  <c r="P124" i="1"/>
  <c r="O123" i="1"/>
  <c r="P123" i="1"/>
  <c r="O122" i="1"/>
  <c r="P122" i="1"/>
  <c r="O121" i="1"/>
  <c r="P121" i="1"/>
  <c r="O120" i="1"/>
  <c r="P120" i="1"/>
  <c r="O119" i="1"/>
  <c r="P119" i="1"/>
  <c r="O118" i="1"/>
  <c r="P118" i="1"/>
  <c r="O117" i="1"/>
  <c r="P117" i="1"/>
  <c r="O116" i="1"/>
  <c r="P116" i="1"/>
  <c r="O115" i="1"/>
  <c r="P115" i="1"/>
  <c r="O114" i="1"/>
  <c r="P114" i="1"/>
  <c r="O113" i="1"/>
  <c r="P113" i="1"/>
  <c r="O112" i="1"/>
  <c r="P112" i="1"/>
  <c r="O111" i="1"/>
  <c r="P111" i="1"/>
  <c r="O110" i="1"/>
  <c r="P110" i="1"/>
  <c r="O109" i="1"/>
  <c r="P109" i="1"/>
  <c r="O108" i="1"/>
  <c r="P108" i="1"/>
  <c r="O107" i="1"/>
  <c r="P107" i="1"/>
  <c r="O106" i="1"/>
  <c r="P106" i="1"/>
  <c r="O105" i="1"/>
  <c r="P105" i="1"/>
  <c r="O104" i="1"/>
  <c r="P104" i="1"/>
  <c r="O103" i="1"/>
  <c r="P103" i="1"/>
  <c r="O102" i="1"/>
  <c r="P102" i="1"/>
  <c r="O101" i="1"/>
  <c r="P101" i="1"/>
  <c r="O100" i="1"/>
  <c r="P100" i="1"/>
  <c r="O99" i="1"/>
  <c r="P99" i="1"/>
  <c r="O98" i="1"/>
  <c r="P98" i="1"/>
  <c r="O97" i="1"/>
  <c r="P97" i="1"/>
  <c r="O96" i="1"/>
  <c r="P96" i="1"/>
  <c r="O95" i="1"/>
  <c r="P95" i="1"/>
  <c r="O94" i="1"/>
  <c r="P94" i="1"/>
  <c r="O93" i="1"/>
  <c r="P93" i="1"/>
  <c r="O92" i="1"/>
  <c r="P92" i="1"/>
  <c r="O91" i="1"/>
  <c r="P91" i="1"/>
  <c r="O90" i="1"/>
  <c r="P90" i="1"/>
  <c r="O89" i="1"/>
  <c r="P89" i="1"/>
  <c r="O88" i="1"/>
  <c r="P88" i="1"/>
  <c r="O87" i="1"/>
  <c r="P87" i="1"/>
  <c r="O86" i="1"/>
  <c r="P86" i="1"/>
  <c r="O85" i="1"/>
  <c r="P85" i="1"/>
  <c r="O84" i="1"/>
  <c r="P84" i="1"/>
  <c r="O83" i="1"/>
  <c r="P83" i="1"/>
  <c r="O82" i="1"/>
  <c r="P82" i="1"/>
  <c r="O81" i="1"/>
  <c r="P81" i="1"/>
  <c r="O80" i="1"/>
  <c r="P80" i="1"/>
  <c r="O79" i="1"/>
  <c r="P79" i="1"/>
  <c r="O78" i="1"/>
  <c r="P78" i="1"/>
  <c r="O77" i="1"/>
  <c r="P77" i="1"/>
  <c r="O76" i="1"/>
  <c r="P76" i="1"/>
  <c r="O75" i="1"/>
  <c r="P75" i="1"/>
  <c r="O74" i="1"/>
  <c r="P74" i="1"/>
  <c r="O73" i="1"/>
  <c r="P73" i="1"/>
  <c r="O72" i="1"/>
  <c r="P72" i="1"/>
  <c r="O71" i="1"/>
  <c r="P71" i="1"/>
  <c r="O70" i="1"/>
  <c r="P70" i="1"/>
  <c r="O69" i="1"/>
  <c r="P69" i="1"/>
  <c r="O68" i="1"/>
  <c r="P68" i="1"/>
  <c r="O67" i="1"/>
  <c r="P67" i="1"/>
  <c r="O66" i="1"/>
  <c r="P66" i="1"/>
  <c r="O65" i="1"/>
  <c r="P65" i="1"/>
  <c r="O64" i="1"/>
  <c r="P64" i="1"/>
  <c r="O63" i="1"/>
  <c r="P63" i="1"/>
  <c r="O62" i="1"/>
  <c r="P62" i="1"/>
  <c r="O61" i="1"/>
  <c r="P61" i="1"/>
  <c r="O60" i="1"/>
  <c r="P60" i="1"/>
  <c r="O59" i="1"/>
  <c r="P59" i="1"/>
  <c r="O58" i="1"/>
  <c r="P58" i="1"/>
  <c r="O57" i="1"/>
  <c r="P57" i="1"/>
  <c r="O56" i="1"/>
  <c r="P56" i="1"/>
  <c r="O55" i="1"/>
  <c r="P55" i="1"/>
  <c r="O54" i="1"/>
  <c r="P54" i="1"/>
  <c r="O53" i="1"/>
  <c r="P53" i="1"/>
  <c r="O52" i="1"/>
  <c r="P52" i="1"/>
  <c r="O51" i="1"/>
  <c r="P51" i="1"/>
  <c r="O50" i="1"/>
  <c r="P50" i="1"/>
  <c r="O49" i="1"/>
  <c r="P49" i="1"/>
  <c r="O48" i="1"/>
  <c r="P48" i="1"/>
  <c r="O47" i="1"/>
  <c r="P47" i="1"/>
  <c r="O46" i="1"/>
  <c r="P46" i="1"/>
  <c r="O45" i="1"/>
  <c r="P45" i="1"/>
  <c r="O44" i="1"/>
  <c r="P44" i="1"/>
  <c r="O43" i="1"/>
  <c r="P43" i="1"/>
  <c r="O42" i="1"/>
  <c r="P42" i="1"/>
  <c r="O41" i="1"/>
  <c r="P41" i="1"/>
  <c r="O40" i="1"/>
  <c r="P40" i="1"/>
  <c r="O39" i="1"/>
  <c r="P39" i="1"/>
  <c r="O38" i="1"/>
  <c r="P38" i="1"/>
  <c r="O37" i="1"/>
  <c r="P37" i="1"/>
  <c r="O36" i="1"/>
  <c r="P36" i="1"/>
  <c r="O35" i="1"/>
  <c r="P35" i="1"/>
  <c r="O34" i="1"/>
  <c r="P34" i="1"/>
  <c r="O33" i="1"/>
  <c r="P33" i="1"/>
  <c r="O32" i="1"/>
  <c r="P32" i="1"/>
  <c r="O31" i="1"/>
  <c r="P31" i="1"/>
  <c r="O30" i="1"/>
  <c r="P30" i="1"/>
  <c r="O29" i="1"/>
  <c r="P29" i="1"/>
  <c r="O28" i="1"/>
  <c r="P28" i="1"/>
  <c r="O27" i="1"/>
  <c r="P27" i="1"/>
  <c r="O26" i="1"/>
  <c r="P26" i="1"/>
  <c r="O25" i="1"/>
  <c r="P25" i="1"/>
  <c r="O24" i="1"/>
  <c r="P24" i="1"/>
  <c r="O23" i="1"/>
  <c r="P23" i="1"/>
  <c r="O22" i="1"/>
  <c r="P22" i="1"/>
  <c r="O21" i="1"/>
  <c r="P21" i="1"/>
  <c r="O20" i="1"/>
  <c r="P20" i="1"/>
  <c r="O19" i="1"/>
  <c r="P19" i="1"/>
  <c r="O18" i="1"/>
  <c r="P18" i="1"/>
  <c r="O17" i="1"/>
  <c r="P17" i="1"/>
  <c r="O16" i="1"/>
  <c r="P16" i="1"/>
  <c r="O15" i="1"/>
  <c r="P15" i="1"/>
  <c r="O14" i="1"/>
  <c r="P14" i="1"/>
  <c r="O13" i="1"/>
  <c r="P13" i="1"/>
  <c r="O12" i="1"/>
  <c r="P12" i="1"/>
  <c r="O11" i="1"/>
  <c r="P11" i="1"/>
  <c r="O10" i="1"/>
  <c r="P10" i="1"/>
  <c r="O9" i="1"/>
  <c r="P9" i="1"/>
  <c r="O8" i="1"/>
  <c r="P8" i="1"/>
  <c r="O7" i="1"/>
  <c r="P7" i="1"/>
  <c r="O6" i="1"/>
  <c r="P6" i="1"/>
  <c r="O5" i="1"/>
  <c r="P5" i="1"/>
  <c r="O4" i="1"/>
  <c r="P4" i="1"/>
  <c r="O3" i="1"/>
  <c r="P3" i="1"/>
  <c r="M13" i="1"/>
  <c r="R13" i="1"/>
  <c r="L5" i="1"/>
  <c r="R5" i="1"/>
  <c r="L144" i="1"/>
  <c r="M144" i="1" s="1"/>
  <c r="R144" i="1"/>
  <c r="L143" i="1"/>
  <c r="R143" i="1"/>
  <c r="L142" i="1"/>
  <c r="R142" i="1"/>
  <c r="L141" i="1"/>
  <c r="R141" i="1"/>
  <c r="L140" i="1"/>
  <c r="R140" i="1"/>
  <c r="L139" i="1"/>
  <c r="R139" i="1"/>
  <c r="L138" i="1"/>
  <c r="R138" i="1"/>
  <c r="L137" i="1"/>
  <c r="R137" i="1"/>
  <c r="L136" i="1"/>
  <c r="R136" i="1"/>
  <c r="L135" i="1"/>
  <c r="R135" i="1"/>
  <c r="L134" i="1"/>
  <c r="R134" i="1"/>
  <c r="L133" i="1"/>
  <c r="R133" i="1"/>
  <c r="L132" i="1"/>
  <c r="R132" i="1"/>
  <c r="L131" i="1"/>
  <c r="R131" i="1"/>
  <c r="L130" i="1"/>
  <c r="R130" i="1"/>
  <c r="L129" i="1"/>
  <c r="R129" i="1"/>
  <c r="L128" i="1"/>
  <c r="R128" i="1"/>
  <c r="L127" i="1"/>
  <c r="R127" i="1"/>
  <c r="L126" i="1"/>
  <c r="R126" i="1"/>
  <c r="L125" i="1"/>
  <c r="R125" i="1"/>
  <c r="L124" i="1"/>
  <c r="R124" i="1"/>
  <c r="L123" i="1"/>
  <c r="R123" i="1"/>
  <c r="L122" i="1"/>
  <c r="R122" i="1"/>
  <c r="L121" i="1"/>
  <c r="R121" i="1"/>
  <c r="L120" i="1"/>
  <c r="R120" i="1"/>
  <c r="L119" i="1"/>
  <c r="R119" i="1"/>
  <c r="L118" i="1"/>
  <c r="R118" i="1"/>
  <c r="L117" i="1"/>
  <c r="R117" i="1"/>
  <c r="L116" i="1"/>
  <c r="R116" i="1"/>
  <c r="L115" i="1"/>
  <c r="R115" i="1"/>
  <c r="L114" i="1"/>
  <c r="R114" i="1"/>
  <c r="L113" i="1"/>
  <c r="R113" i="1"/>
  <c r="L112" i="1"/>
  <c r="R112" i="1"/>
  <c r="L111" i="1"/>
  <c r="R111" i="1"/>
  <c r="L110" i="1"/>
  <c r="R110" i="1"/>
  <c r="L109" i="1"/>
  <c r="R109" i="1"/>
  <c r="L108" i="1"/>
  <c r="R108" i="1"/>
  <c r="L107" i="1"/>
  <c r="R107" i="1"/>
  <c r="L106" i="1"/>
  <c r="R106" i="1"/>
  <c r="L105" i="1"/>
  <c r="R105" i="1"/>
  <c r="L104" i="1"/>
  <c r="R104" i="1"/>
  <c r="L103" i="1"/>
  <c r="R103" i="1"/>
  <c r="L102" i="1"/>
  <c r="R102" i="1"/>
  <c r="L101" i="1"/>
  <c r="R101" i="1"/>
  <c r="L100" i="1"/>
  <c r="R100" i="1"/>
  <c r="L99" i="1"/>
  <c r="R99" i="1"/>
  <c r="L98" i="1"/>
  <c r="R98" i="1"/>
  <c r="L97" i="1"/>
  <c r="R97" i="1"/>
  <c r="L96" i="1"/>
  <c r="R96" i="1"/>
  <c r="L95" i="1"/>
  <c r="R95" i="1"/>
  <c r="L94" i="1"/>
  <c r="R94" i="1"/>
  <c r="L93" i="1"/>
  <c r="R93" i="1"/>
  <c r="L92" i="1"/>
  <c r="R92" i="1"/>
  <c r="L91" i="1"/>
  <c r="R91" i="1"/>
  <c r="L90" i="1"/>
  <c r="R90" i="1"/>
  <c r="L89" i="1"/>
  <c r="R89" i="1"/>
  <c r="L88" i="1"/>
  <c r="R88" i="1"/>
  <c r="L87" i="1"/>
  <c r="R87" i="1"/>
  <c r="L86" i="1"/>
  <c r="R86" i="1"/>
  <c r="L85" i="1"/>
  <c r="R85" i="1"/>
  <c r="L84" i="1"/>
  <c r="R84" i="1"/>
  <c r="L83" i="1"/>
  <c r="R83" i="1"/>
  <c r="L82" i="1"/>
  <c r="R82" i="1"/>
  <c r="L81" i="1"/>
  <c r="R81" i="1"/>
  <c r="L80" i="1"/>
  <c r="R80" i="1"/>
  <c r="L79" i="1"/>
  <c r="R79" i="1"/>
  <c r="L78" i="1"/>
  <c r="R78" i="1"/>
  <c r="L77" i="1"/>
  <c r="R77" i="1"/>
  <c r="L76" i="1"/>
  <c r="R76" i="1"/>
  <c r="L75" i="1"/>
  <c r="R75" i="1"/>
  <c r="L74" i="1"/>
  <c r="R74" i="1"/>
  <c r="L73" i="1"/>
  <c r="R73" i="1"/>
  <c r="L72" i="1"/>
  <c r="R72" i="1"/>
  <c r="L71" i="1"/>
  <c r="R71" i="1"/>
  <c r="L70" i="1"/>
  <c r="R70" i="1"/>
  <c r="L69" i="1"/>
  <c r="R69" i="1"/>
  <c r="L68" i="1"/>
  <c r="R68" i="1"/>
  <c r="L67" i="1"/>
  <c r="R67" i="1"/>
  <c r="L66" i="1"/>
  <c r="R66" i="1"/>
  <c r="L65" i="1"/>
  <c r="R65" i="1"/>
  <c r="L64" i="1"/>
  <c r="R64" i="1"/>
  <c r="L63" i="1"/>
  <c r="R63" i="1"/>
  <c r="L62" i="1"/>
  <c r="R62" i="1"/>
  <c r="L61" i="1"/>
  <c r="R61" i="1"/>
  <c r="L60" i="1"/>
  <c r="R60" i="1"/>
  <c r="L59" i="1"/>
  <c r="R59" i="1"/>
  <c r="L58" i="1"/>
  <c r="R58" i="1"/>
  <c r="L57" i="1"/>
  <c r="R57" i="1"/>
  <c r="L56" i="1"/>
  <c r="R56" i="1"/>
  <c r="L55" i="1"/>
  <c r="R55" i="1"/>
  <c r="L54" i="1"/>
  <c r="R54" i="1"/>
  <c r="L53" i="1"/>
  <c r="R53" i="1"/>
  <c r="L52" i="1"/>
  <c r="R52" i="1"/>
  <c r="L51" i="1"/>
  <c r="R51" i="1"/>
  <c r="L50" i="1"/>
  <c r="R50" i="1"/>
  <c r="L49" i="1"/>
  <c r="R49" i="1"/>
  <c r="L48" i="1"/>
  <c r="R48" i="1"/>
  <c r="L47" i="1"/>
  <c r="R47" i="1"/>
  <c r="L46" i="1"/>
  <c r="R46" i="1"/>
  <c r="L45" i="1"/>
  <c r="R45" i="1"/>
  <c r="L44" i="1"/>
  <c r="R44" i="1"/>
  <c r="L43" i="1"/>
  <c r="R43" i="1"/>
  <c r="L42" i="1"/>
  <c r="R42" i="1"/>
  <c r="L41" i="1"/>
  <c r="R41" i="1"/>
  <c r="L40" i="1"/>
  <c r="R40" i="1"/>
  <c r="L39" i="1"/>
  <c r="R39" i="1"/>
  <c r="L38" i="1"/>
  <c r="R38" i="1"/>
  <c r="L37" i="1"/>
  <c r="R37" i="1"/>
  <c r="L36" i="1"/>
  <c r="R36" i="1"/>
  <c r="L35" i="1"/>
  <c r="R35" i="1"/>
  <c r="L34" i="1"/>
  <c r="R34" i="1"/>
  <c r="L33" i="1"/>
  <c r="R33" i="1"/>
  <c r="L32" i="1"/>
  <c r="R32" i="1"/>
  <c r="L31" i="1"/>
  <c r="R31" i="1"/>
  <c r="L30" i="1"/>
  <c r="R30" i="1"/>
  <c r="L29" i="1"/>
  <c r="R29" i="1"/>
  <c r="L28" i="1"/>
  <c r="R28" i="1"/>
  <c r="L27" i="1"/>
  <c r="R27" i="1"/>
  <c r="L26" i="1"/>
  <c r="R26" i="1"/>
  <c r="L25" i="1"/>
  <c r="R25" i="1"/>
  <c r="L24" i="1"/>
  <c r="R24" i="1"/>
  <c r="L23" i="1"/>
  <c r="R23" i="1"/>
  <c r="L22" i="1"/>
  <c r="R22" i="1"/>
  <c r="L21" i="1"/>
  <c r="R21" i="1"/>
  <c r="L20" i="1"/>
  <c r="R20" i="1"/>
  <c r="L19" i="1"/>
  <c r="R19" i="1"/>
  <c r="L18" i="1"/>
  <c r="R18" i="1"/>
  <c r="L17" i="1"/>
  <c r="R17" i="1"/>
  <c r="L16" i="1"/>
  <c r="R16" i="1"/>
  <c r="L15" i="1"/>
  <c r="R15" i="1"/>
  <c r="L14" i="1"/>
  <c r="R14" i="1"/>
  <c r="L12" i="1"/>
  <c r="R12" i="1"/>
  <c r="L11" i="1"/>
  <c r="R11" i="1"/>
  <c r="L10" i="1"/>
  <c r="R10" i="1"/>
  <c r="L9" i="1"/>
  <c r="R9" i="1"/>
  <c r="L8" i="1"/>
  <c r="R8" i="1"/>
  <c r="L7" i="1"/>
  <c r="R7" i="1"/>
  <c r="L6" i="1"/>
  <c r="R6" i="1"/>
  <c r="M5" i="1"/>
  <c r="T11" i="1"/>
  <c r="T14" i="1" s="1"/>
  <c r="T17" i="1" s="1"/>
  <c r="M6" i="1" l="1"/>
  <c r="M7" i="1"/>
  <c r="M8" i="1"/>
  <c r="M9" i="1"/>
  <c r="M10" i="1"/>
  <c r="M11" i="1"/>
  <c r="M12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T23" i="1" l="1"/>
  <c r="N2" i="1"/>
  <c r="Q2" i="1" s="1"/>
  <c r="O2" i="1" l="1"/>
  <c r="P2" i="1"/>
</calcChain>
</file>

<file path=xl/sharedStrings.xml><?xml version="1.0" encoding="utf-8"?>
<sst xmlns="http://schemas.openxmlformats.org/spreadsheetml/2006/main" count="563" uniqueCount="84">
  <si>
    <t>Store</t>
  </si>
  <si>
    <t>Dept</t>
  </si>
  <si>
    <t>Date</t>
  </si>
  <si>
    <t>Weekly_Sales</t>
  </si>
  <si>
    <t>IsHoliday</t>
  </si>
  <si>
    <t>Year</t>
  </si>
  <si>
    <t>Month</t>
  </si>
  <si>
    <t>Month_Year</t>
  </si>
  <si>
    <t>Week_No</t>
  </si>
  <si>
    <t>Inventory_Level</t>
  </si>
  <si>
    <t>3_Week_Forecast</t>
  </si>
  <si>
    <t>Forecast Error</t>
  </si>
  <si>
    <t>Absolute Percentage Error</t>
  </si>
  <si>
    <t>Store_Date_Key</t>
  </si>
  <si>
    <t>Temperature</t>
  </si>
  <si>
    <t>CPI</t>
  </si>
  <si>
    <t>Total Markdown</t>
  </si>
  <si>
    <t>Forecast Check</t>
  </si>
  <si>
    <t>KPIs</t>
  </si>
  <si>
    <t>1️⃣ Total Weekly Sales</t>
  </si>
  <si>
    <t>Sum of Weekly_Sales</t>
  </si>
  <si>
    <t>Shows long-term demand trend.</t>
  </si>
  <si>
    <t>Average of Weekly_Sales</t>
  </si>
  <si>
    <t>Shows seasonal patterns.</t>
  </si>
  <si>
    <t>2010-02</t>
  </si>
  <si>
    <t>Jan</t>
  </si>
  <si>
    <t>2010-03</t>
  </si>
  <si>
    <t>Feb</t>
  </si>
  <si>
    <t>2️⃣ Average Weekly Sales</t>
  </si>
  <si>
    <t>2010-04</t>
  </si>
  <si>
    <t>Mar</t>
  </si>
  <si>
    <t>2010-05</t>
  </si>
  <si>
    <t>Apr</t>
  </si>
  <si>
    <t>2010-06</t>
  </si>
  <si>
    <t>May</t>
  </si>
  <si>
    <t>3️⃣ Average Inventory</t>
  </si>
  <si>
    <t>2010-07</t>
  </si>
  <si>
    <t>Jun</t>
  </si>
  <si>
    <t>2010-08</t>
  </si>
  <si>
    <t>Jul</t>
  </si>
  <si>
    <t>2010-09</t>
  </si>
  <si>
    <t>Aug</t>
  </si>
  <si>
    <t>4️⃣ Inventory Turnover</t>
  </si>
  <si>
    <t>2010-10</t>
  </si>
  <si>
    <t>Sep</t>
  </si>
  <si>
    <t>2010-11</t>
  </si>
  <si>
    <t>Oct</t>
  </si>
  <si>
    <t>2010-12</t>
  </si>
  <si>
    <t>Nov</t>
  </si>
  <si>
    <t>5️⃣ Annnual Inventory Turnover</t>
  </si>
  <si>
    <t>2011-01</t>
  </si>
  <si>
    <t>Dec</t>
  </si>
  <si>
    <t>2011-02</t>
  </si>
  <si>
    <t>Grand Total</t>
  </si>
  <si>
    <t>2011-03</t>
  </si>
  <si>
    <t>6️⃣ Reorder Point (ROP)</t>
  </si>
  <si>
    <t>2011-04</t>
  </si>
  <si>
    <t>2011-05</t>
  </si>
  <si>
    <t>2011-06</t>
  </si>
  <si>
    <t>7️⃣ Average APE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</si>
  <si>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</si>
  <si>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</si>
  <si>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</si>
  <si>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</si>
  <si>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</si>
  <si>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</si>
  <si>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</si>
  <si>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</si>
  <si>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</si>
  <si>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</si>
  <si>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</si>
  <si>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</si>
  <si>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</si>
  <si>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</si>
  <si>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</si>
  <si>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</si>
  <si>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Fuel_Price</t>
  </si>
  <si>
    <t>MarkDown1</t>
  </si>
  <si>
    <t>MarkDown2</t>
  </si>
  <si>
    <t>MarkDown3</t>
  </si>
  <si>
    <t>MarkDown4</t>
  </si>
  <si>
    <t>MarkDown5</t>
  </si>
  <si>
    <t>Unemployment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</si>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</sst>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Display"/>
      <scheme val="major"/>
    </font>
    <font>
      <sz val="10"/>
      <color theme="1"/>
      <name val="Aptos Display"/>
      <scheme val="major"/>
    </font>
    <font>
      <b/>
      <sz val="11"/>
      <color rgb="FF000000"/>
      <name val="Helvetica Neue"/>
      <charset val="1"/>
    </font>
    <font>
      <b/>
      <sz val="9"/>
      <color theme="1"/>
      <name val="Arial"/>
    </font>
    <font>
      <b/>
      <sz val="9"/>
      <color rgb="FF000000"/>
      <name val="Arial"/>
    </font>
    <font>
      <sz val="9"/>
      <color theme="1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1" fillId="3" borderId="10" xfId="0" applyFont="1" applyFill="1" applyBorder="1"/>
    <xf numFmtId="0" fontId="2" fillId="0" borderId="0" xfId="0" applyFont="1"/>
    <xf numFmtId="2" fontId="0" fillId="0" borderId="0" xfId="0" applyNumberFormat="1" applyFont="1"/>
    <xf numFmtId="0" fontId="0" fillId="0" borderId="6" xfId="0" pivotButton="1" applyBorder="1"/>
    <xf numFmtId="0" fontId="0" fillId="0" borderId="5" xfId="0" applyBorder="1"/>
    <xf numFmtId="0" fontId="0" fillId="0" borderId="9" xfId="0" applyBorder="1"/>
    <xf numFmtId="0" fontId="0" fillId="0" borderId="7" xfId="0" applyNumberFormat="1" applyBorder="1"/>
    <xf numFmtId="0" fontId="0" fillId="0" borderId="4" xfId="0" applyBorder="1"/>
    <xf numFmtId="0" fontId="0" fillId="0" borderId="2" xfId="0" applyNumberFormat="1" applyBorder="1"/>
    <xf numFmtId="2" fontId="0" fillId="0" borderId="7" xfId="0" applyNumberFormat="1" applyBorder="1"/>
    <xf numFmtId="2" fontId="0" fillId="0" borderId="2" xfId="0" applyNumberFormat="1" applyBorder="1"/>
    <xf numFmtId="164" fontId="0" fillId="0" borderId="0" xfId="0" applyNumberFormat="1"/>
    <xf numFmtId="2" fontId="2" fillId="0" borderId="0" xfId="0" applyNumberFormat="1" applyFont="1"/>
    <xf numFmtId="1" fontId="3" fillId="0" borderId="1" xfId="0" applyNumberFormat="1" applyFont="1" applyFill="1" applyBorder="1"/>
    <xf numFmtId="1" fontId="3" fillId="0" borderId="1" xfId="0" applyNumberFormat="1" applyFont="1" applyBorder="1"/>
    <xf numFmtId="164" fontId="3" fillId="0" borderId="1" xfId="0" applyNumberFormat="1" applyFont="1" applyBorder="1"/>
    <xf numFmtId="2" fontId="3" fillId="0" borderId="1" xfId="0" applyNumberFormat="1" applyFont="1" applyBorder="1"/>
    <xf numFmtId="49" fontId="3" fillId="0" borderId="1" xfId="0" applyNumberFormat="1" applyFont="1" applyBorder="1"/>
    <xf numFmtId="0" fontId="4" fillId="0" borderId="1" xfId="0" applyFont="1" applyBorder="1"/>
    <xf numFmtId="0" fontId="4" fillId="0" borderId="1" xfId="0" applyNumberFormat="1" applyFont="1" applyBorder="1"/>
    <xf numFmtId="0" fontId="4" fillId="0" borderId="3" xfId="0" applyNumberFormat="1" applyFont="1" applyBorder="1"/>
    <xf numFmtId="2" fontId="4" fillId="0" borderId="3" xfId="0" applyNumberFormat="1" applyFont="1" applyBorder="1"/>
    <xf numFmtId="0" fontId="4" fillId="0" borderId="3" xfId="0" applyNumberFormat="1" applyFont="1" applyBorder="1" applyAlignment="1">
      <alignment wrapText="1"/>
    </xf>
    <xf numFmtId="2" fontId="4" fillId="0" borderId="3" xfId="0" applyNumberFormat="1" applyFont="1" applyBorder="1" applyAlignment="1">
      <alignment wrapText="1"/>
    </xf>
    <xf numFmtId="2" fontId="4" fillId="0" borderId="1" xfId="0" applyNumberFormat="1" applyFont="1" applyBorder="1"/>
    <xf numFmtId="2" fontId="4" fillId="0" borderId="11" xfId="0" applyNumberFormat="1" applyFont="1" applyBorder="1"/>
    <xf numFmtId="0" fontId="4" fillId="0" borderId="11" xfId="0" applyNumberFormat="1" applyFont="1" applyBorder="1"/>
    <xf numFmtId="1" fontId="5" fillId="2" borderId="7" xfId="0" applyNumberFormat="1" applyFont="1" applyFill="1" applyBorder="1"/>
    <xf numFmtId="1" fontId="5" fillId="2" borderId="8" xfId="0" applyNumberFormat="1" applyFont="1" applyFill="1" applyBorder="1"/>
    <xf numFmtId="164" fontId="5" fillId="2" borderId="8" xfId="0" applyNumberFormat="1" applyFont="1" applyFill="1" applyBorder="1"/>
    <xf numFmtId="2" fontId="5" fillId="2" borderId="8" xfId="0" applyNumberFormat="1" applyFont="1" applyFill="1" applyBorder="1"/>
    <xf numFmtId="49" fontId="5" fillId="2" borderId="9" xfId="0" applyNumberFormat="1" applyFont="1" applyFill="1" applyBorder="1"/>
    <xf numFmtId="49" fontId="5" fillId="2" borderId="8" xfId="0" applyNumberFormat="1" applyFont="1" applyFill="1" applyBorder="1"/>
    <xf numFmtId="0" fontId="5" fillId="2" borderId="8" xfId="0" applyFont="1" applyFill="1" applyBorder="1"/>
    <xf numFmtId="0" fontId="5" fillId="2" borderId="3" xfId="0" applyFont="1" applyFill="1" applyBorder="1"/>
    <xf numFmtId="0" fontId="5" fillId="2" borderId="3" xfId="0" applyFont="1" applyFill="1" applyBorder="1" applyAlignment="1">
      <alignment wrapText="1"/>
    </xf>
    <xf numFmtId="0" fontId="0" fillId="0" borderId="0" xfId="0" applyFont="1"/>
    <xf numFmtId="164" fontId="7" fillId="2" borderId="1" xfId="0" applyNumberFormat="1" applyFont="1" applyFill="1" applyBorder="1"/>
    <xf numFmtId="164" fontId="9" fillId="0" borderId="1" xfId="0" applyNumberFormat="1" applyFont="1" applyBorder="1"/>
    <xf numFmtId="0" fontId="6" fillId="4" borderId="1" xfId="0" applyFont="1" applyFill="1" applyBorder="1"/>
    <xf numFmtId="0" fontId="8" fillId="0" borderId="1" xfId="0" applyFont="1" applyBorder="1"/>
    <xf numFmtId="2" fontId="7" fillId="2" borderId="1" xfId="0" applyNumberFormat="1" applyFont="1" applyFill="1" applyBorder="1"/>
    <xf numFmtId="2" fontId="9" fillId="0" borderId="1" xfId="0" applyNumberFormat="1" applyFont="1" applyBorder="1"/>
    <xf numFmtId="49" fontId="7" fillId="2" borderId="1" xfId="0" applyNumberFormat="1" applyFont="1" applyFill="1" applyBorder="1"/>
    <xf numFmtId="49" fontId="9" fillId="0" borderId="1" xfId="0" applyNumberFormat="1" applyFont="1" applyBorder="1"/>
    <xf numFmtId="1" fontId="7" fillId="2" borderId="1" xfId="0" applyNumberFormat="1" applyFont="1" applyFill="1" applyBorder="1"/>
    <xf numFmtId="1" fontId="9" fillId="0" borderId="1" xfId="0" applyNumberFormat="1" applyFont="1" applyBorder="1"/>
  </cellXfs>
  <cellStyles count="1">
    <cellStyle name="Normal" xfId="0" builtinId="0"/>
  </cellStyles>
  <dxfs count="35">
    <dxf>
      <font>
        <b val="0"/>
        <sz val="10"/>
        <name val="Aptos Display"/>
        <scheme val="maj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0"/>
        <name val="Aptos Display"/>
        <scheme val="maj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0"/>
        <name val="Aptos Display"/>
        <scheme val="major"/>
      </font>
      <numFmt numFmtId="2" formatCode="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0"/>
        <name val="Aptos Display"/>
        <scheme val="maj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0"/>
        <name val="Aptos Display"/>
        <scheme val="maj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0"/>
        <name val="Aptos Display"/>
        <scheme val="maj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0"/>
        <name val="Aptos Display"/>
        <scheme val="major"/>
      </font>
      <numFmt numFmtId="2" formatCode="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0"/>
        <name val="Aptos Display"/>
        <scheme val="maj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0"/>
        <name val="Aptos Display"/>
        <scheme val="maj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0"/>
        <name val="Aptos Display"/>
        <scheme val="maj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0"/>
        <name val="Aptos Display"/>
        <scheme val="maj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0"/>
        <name val="Aptos Display"/>
        <scheme val="maj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10"/>
        <name val="Aptos Display"/>
        <scheme val="maj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Display"/>
        <scheme val="major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Display"/>
        <scheme val="maj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Display"/>
        <scheme val="major"/>
      </font>
      <numFmt numFmtId="164" formatCode="yyyy\-mm\-dd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Display"/>
        <scheme val="major"/>
      </font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Display"/>
        <scheme val="major"/>
      </font>
      <numFmt numFmtId="1" formatCode="0"/>
      <fill>
        <patternFill patternType="none">
          <fgColor indexed="64"/>
          <bgColor rgb="FFD4D4D4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z val="10"/>
        <name val="Aptos Display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Helvetica Neue"/>
        <charset val="1"/>
        <scheme val="none"/>
      </font>
      <fill>
        <patternFill patternType="solid">
          <fgColor indexed="64"/>
          <bgColor rgb="FFB0B3B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[Store1 Dept1 Cleaned Analysis.xlsx]Sales_Data!PivotTable2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Sales_Data!$W$4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Sales_Data!$V$5:$V$38</c:f>
              <c:strCache>
                <c:ptCount val="33"/>
                <c:pt idx="0">
                  <c:v>2010-02</c:v>
                </c:pt>
                <c:pt idx="1">
                  <c:v>2010-03</c:v>
                </c:pt>
                <c:pt idx="2">
                  <c:v>2010-04</c:v>
                </c:pt>
                <c:pt idx="3">
                  <c:v>2010-05</c:v>
                </c:pt>
                <c:pt idx="4">
                  <c:v>2010-06</c:v>
                </c:pt>
                <c:pt idx="5">
                  <c:v>2010-07</c:v>
                </c:pt>
                <c:pt idx="6">
                  <c:v>2010-08</c:v>
                </c:pt>
                <c:pt idx="7">
                  <c:v>2010-09</c:v>
                </c:pt>
                <c:pt idx="8">
                  <c:v>2010-10</c:v>
                </c:pt>
                <c:pt idx="9">
                  <c:v>2010-11</c:v>
                </c:pt>
                <c:pt idx="10">
                  <c:v>2010-12</c:v>
                </c:pt>
                <c:pt idx="11">
                  <c:v>2011-01</c:v>
                </c:pt>
                <c:pt idx="12">
                  <c:v>2011-02</c:v>
                </c:pt>
                <c:pt idx="13">
                  <c:v>2011-03</c:v>
                </c:pt>
                <c:pt idx="14">
                  <c:v>2011-04</c:v>
                </c:pt>
                <c:pt idx="15">
                  <c:v>2011-05</c:v>
                </c:pt>
                <c:pt idx="16">
                  <c:v>2011-06</c:v>
                </c:pt>
                <c:pt idx="17">
                  <c:v>2011-07</c:v>
                </c:pt>
                <c:pt idx="18">
                  <c:v>2011-08</c:v>
                </c:pt>
                <c:pt idx="19">
                  <c:v>2011-09</c:v>
                </c:pt>
                <c:pt idx="20">
                  <c:v>2011-10</c:v>
                </c:pt>
                <c:pt idx="21">
                  <c:v>2011-11</c:v>
                </c:pt>
                <c:pt idx="22">
                  <c:v>2011-12</c:v>
                </c:pt>
                <c:pt idx="23">
                  <c:v>2012-01</c:v>
                </c:pt>
                <c:pt idx="24">
                  <c:v>2012-02</c:v>
                </c:pt>
                <c:pt idx="25">
                  <c:v>2012-03</c:v>
                </c:pt>
                <c:pt idx="26">
                  <c:v>2012-04</c:v>
                </c:pt>
                <c:pt idx="27">
                  <c:v>2012-05</c:v>
                </c:pt>
                <c:pt idx="28">
                  <c:v>2012-06</c:v>
                </c:pt>
                <c:pt idx="29">
                  <c:v>2012-07</c:v>
                </c:pt>
                <c:pt idx="30">
                  <c:v>2012-08</c:v>
                </c:pt>
                <c:pt idx="31">
                  <c:v>2012-09</c:v>
                </c:pt>
                <c:pt idx="32">
                  <c:v>2012-10</c:v>
                </c:pt>
              </c:strCache>
            </c:strRef>
          </c:cat>
          <c:val>
            <c:numRef>
              <c:f>Sales_Data!$W$5:$W$38</c:f>
              <c:numCache>
                <c:formatCode>General</c:formatCode>
                <c:ptCount val="33"/>
                <c:pt idx="0">
                  <c:v>131963.07999999999</c:v>
                </c:pt>
                <c:pt idx="1">
                  <c:v>91237.14</c:v>
                </c:pt>
                <c:pt idx="2">
                  <c:v>150516.76</c:v>
                </c:pt>
                <c:pt idx="3">
                  <c:v>66694.149999999994</c:v>
                </c:pt>
                <c:pt idx="4">
                  <c:v>66740.7</c:v>
                </c:pt>
                <c:pt idx="5">
                  <c:v>81915.00999999998</c:v>
                </c:pt>
                <c:pt idx="6">
                  <c:v>64578.81</c:v>
                </c:pt>
                <c:pt idx="7">
                  <c:v>71913.27</c:v>
                </c:pt>
                <c:pt idx="8">
                  <c:v>134644.53</c:v>
                </c:pt>
                <c:pt idx="9">
                  <c:v>92161.4</c:v>
                </c:pt>
                <c:pt idx="10">
                  <c:v>173983.88</c:v>
                </c:pt>
                <c:pt idx="11">
                  <c:v>69146.59</c:v>
                </c:pt>
                <c:pt idx="12">
                  <c:v>125762.62999999999</c:v>
                </c:pt>
                <c:pt idx="13">
                  <c:v>82823.34</c:v>
                </c:pt>
                <c:pt idx="14">
                  <c:v>165056.95000000001</c:v>
                </c:pt>
                <c:pt idx="15">
                  <c:v>68251.72</c:v>
                </c:pt>
                <c:pt idx="16">
                  <c:v>62978.57</c:v>
                </c:pt>
                <c:pt idx="17">
                  <c:v>78856.23</c:v>
                </c:pt>
                <c:pt idx="18">
                  <c:v>59061.950000000004</c:v>
                </c:pt>
                <c:pt idx="19">
                  <c:v>87756.41</c:v>
                </c:pt>
                <c:pt idx="20">
                  <c:v>98806.830000000016</c:v>
                </c:pt>
                <c:pt idx="21">
                  <c:v>98537.51</c:v>
                </c:pt>
                <c:pt idx="22">
                  <c:v>174512.07</c:v>
                </c:pt>
                <c:pt idx="23">
                  <c:v>70205.349999999991</c:v>
                </c:pt>
                <c:pt idx="24">
                  <c:v>134683.29999999999</c:v>
                </c:pt>
                <c:pt idx="25">
                  <c:v>114680.54</c:v>
                </c:pt>
                <c:pt idx="26">
                  <c:v>125600.12000000001</c:v>
                </c:pt>
                <c:pt idx="27">
                  <c:v>70792.98</c:v>
                </c:pt>
                <c:pt idx="28">
                  <c:v>83646.540000000008</c:v>
                </c:pt>
                <c:pt idx="29">
                  <c:v>66468.790000000008</c:v>
                </c:pt>
                <c:pt idx="30">
                  <c:v>83045.570000000007</c:v>
                </c:pt>
                <c:pt idx="31">
                  <c:v>76137.899999999994</c:v>
                </c:pt>
                <c:pt idx="32">
                  <c:v>96244.56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CE-475D-AA36-F10B85A95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9480"/>
        <c:axId val="4331528"/>
      </c:lineChart>
      <c:catAx>
        <c:axId val="4329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528"/>
        <c:crosses val="autoZero"/>
        <c:auto val="1"/>
        <c:lblAlgn val="ctr"/>
        <c:lblOffset val="100"/>
        <c:noMultiLvlLbl val="0"/>
      </c:catAx>
      <c:valAx>
        <c:axId val="4331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[Store1 Dept1 Cleaned Analysis.xlsx]Sales_Data!PivotTable4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Sales_Data!$AG$4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Sales_Data!$AF$5:$AF$17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Sales_Data!$AG$5:$AG$17</c:f>
              <c:numCache>
                <c:formatCode>0.00</c:formatCode>
                <c:ptCount val="12"/>
                <c:pt idx="0">
                  <c:v>17418.9925</c:v>
                </c:pt>
                <c:pt idx="1">
                  <c:v>32700.750833333335</c:v>
                </c:pt>
                <c:pt idx="2">
                  <c:v>22210.847692307692</c:v>
                </c:pt>
                <c:pt idx="3">
                  <c:v>31512.416428571429</c:v>
                </c:pt>
                <c:pt idx="4">
                  <c:v>17144.904166666667</c:v>
                </c:pt>
                <c:pt idx="5">
                  <c:v>16412.754615384616</c:v>
                </c:pt>
                <c:pt idx="6">
                  <c:v>16231.430714285712</c:v>
                </c:pt>
                <c:pt idx="7">
                  <c:v>15898.948461538463</c:v>
                </c:pt>
                <c:pt idx="8">
                  <c:v>18139.044615384613</c:v>
                </c:pt>
                <c:pt idx="9">
                  <c:v>25361.224615384614</c:v>
                </c:pt>
                <c:pt idx="10">
                  <c:v>23837.36375</c:v>
                </c:pt>
                <c:pt idx="11">
                  <c:v>34849.594999999994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4-4147-8924-C3FC6B765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825736"/>
        <c:axId val="473656840"/>
      </c:barChart>
      <c:catAx>
        <c:axId val="458825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656840"/>
        <c:crosses val="autoZero"/>
        <c:auto val="1"/>
        <c:lblAlgn val="ctr"/>
        <c:lblOffset val="100"/>
        <c:noMultiLvlLbl val="0"/>
      </c:catAx>
      <c:valAx>
        <c:axId val="47365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25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 vs Actual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Sales_Data!$D$1</c:f>
              <c:strCache>
                <c:ptCount val="1"/>
                <c:pt idx="0">
                  <c:v>Weekly_Sales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Sales_Data!$C$2:$C$144</c:f>
              <c:numCache>
                <c:formatCode>yyyy\-mm\-dd;@</c:formatCode>
                <c:ptCount val="143"/>
                <c:pt idx="0">
                  <c:v>40214</c:v>
                </c:pt>
                <c:pt idx="1">
                  <c:v>40221</c:v>
                </c:pt>
                <c:pt idx="2">
                  <c:v>40228</c:v>
                </c:pt>
                <c:pt idx="3">
                  <c:v>40235</c:v>
                </c:pt>
                <c:pt idx="4">
                  <c:v>40242</c:v>
                </c:pt>
                <c:pt idx="5">
                  <c:v>40249</c:v>
                </c:pt>
                <c:pt idx="6">
                  <c:v>40256</c:v>
                </c:pt>
                <c:pt idx="7">
                  <c:v>40263</c:v>
                </c:pt>
                <c:pt idx="8">
                  <c:v>40270</c:v>
                </c:pt>
                <c:pt idx="9">
                  <c:v>40277</c:v>
                </c:pt>
                <c:pt idx="10">
                  <c:v>40284</c:v>
                </c:pt>
                <c:pt idx="11">
                  <c:v>40291</c:v>
                </c:pt>
                <c:pt idx="12">
                  <c:v>40298</c:v>
                </c:pt>
                <c:pt idx="13">
                  <c:v>40305</c:v>
                </c:pt>
                <c:pt idx="14">
                  <c:v>40312</c:v>
                </c:pt>
                <c:pt idx="15">
                  <c:v>40319</c:v>
                </c:pt>
                <c:pt idx="16">
                  <c:v>40326</c:v>
                </c:pt>
                <c:pt idx="17">
                  <c:v>40333</c:v>
                </c:pt>
                <c:pt idx="18">
                  <c:v>40340</c:v>
                </c:pt>
                <c:pt idx="19">
                  <c:v>40347</c:v>
                </c:pt>
                <c:pt idx="20">
                  <c:v>40354</c:v>
                </c:pt>
                <c:pt idx="21">
                  <c:v>40361</c:v>
                </c:pt>
                <c:pt idx="22">
                  <c:v>40368</c:v>
                </c:pt>
                <c:pt idx="23">
                  <c:v>40375</c:v>
                </c:pt>
                <c:pt idx="24">
                  <c:v>40382</c:v>
                </c:pt>
                <c:pt idx="25">
                  <c:v>40389</c:v>
                </c:pt>
                <c:pt idx="26">
                  <c:v>40396</c:v>
                </c:pt>
                <c:pt idx="27">
                  <c:v>40403</c:v>
                </c:pt>
                <c:pt idx="28">
                  <c:v>40410</c:v>
                </c:pt>
                <c:pt idx="29">
                  <c:v>40417</c:v>
                </c:pt>
                <c:pt idx="30">
                  <c:v>40424</c:v>
                </c:pt>
                <c:pt idx="31">
                  <c:v>40431</c:v>
                </c:pt>
                <c:pt idx="32">
                  <c:v>40438</c:v>
                </c:pt>
                <c:pt idx="33">
                  <c:v>40445</c:v>
                </c:pt>
                <c:pt idx="34">
                  <c:v>40452</c:v>
                </c:pt>
                <c:pt idx="35">
                  <c:v>40459</c:v>
                </c:pt>
                <c:pt idx="36">
                  <c:v>40466</c:v>
                </c:pt>
                <c:pt idx="37">
                  <c:v>40473</c:v>
                </c:pt>
                <c:pt idx="38">
                  <c:v>40480</c:v>
                </c:pt>
                <c:pt idx="39">
                  <c:v>40487</c:v>
                </c:pt>
                <c:pt idx="40">
                  <c:v>40494</c:v>
                </c:pt>
                <c:pt idx="41">
                  <c:v>40501</c:v>
                </c:pt>
                <c:pt idx="42">
                  <c:v>40508</c:v>
                </c:pt>
                <c:pt idx="43">
                  <c:v>40515</c:v>
                </c:pt>
                <c:pt idx="44">
                  <c:v>40522</c:v>
                </c:pt>
                <c:pt idx="45">
                  <c:v>40529</c:v>
                </c:pt>
                <c:pt idx="46">
                  <c:v>40536</c:v>
                </c:pt>
                <c:pt idx="47">
                  <c:v>40543</c:v>
                </c:pt>
                <c:pt idx="48">
                  <c:v>40550</c:v>
                </c:pt>
                <c:pt idx="49">
                  <c:v>40557</c:v>
                </c:pt>
                <c:pt idx="50">
                  <c:v>40564</c:v>
                </c:pt>
                <c:pt idx="51">
                  <c:v>40571</c:v>
                </c:pt>
                <c:pt idx="52">
                  <c:v>40578</c:v>
                </c:pt>
                <c:pt idx="53">
                  <c:v>40585</c:v>
                </c:pt>
                <c:pt idx="54">
                  <c:v>40592</c:v>
                </c:pt>
                <c:pt idx="55">
                  <c:v>40599</c:v>
                </c:pt>
                <c:pt idx="56">
                  <c:v>40606</c:v>
                </c:pt>
                <c:pt idx="57">
                  <c:v>40613</c:v>
                </c:pt>
                <c:pt idx="58">
                  <c:v>40620</c:v>
                </c:pt>
                <c:pt idx="59">
                  <c:v>40627</c:v>
                </c:pt>
                <c:pt idx="60">
                  <c:v>40634</c:v>
                </c:pt>
                <c:pt idx="61">
                  <c:v>40641</c:v>
                </c:pt>
                <c:pt idx="62">
                  <c:v>40648</c:v>
                </c:pt>
                <c:pt idx="63">
                  <c:v>40655</c:v>
                </c:pt>
                <c:pt idx="64">
                  <c:v>40662</c:v>
                </c:pt>
                <c:pt idx="65">
                  <c:v>40669</c:v>
                </c:pt>
                <c:pt idx="66">
                  <c:v>40676</c:v>
                </c:pt>
                <c:pt idx="67">
                  <c:v>40683</c:v>
                </c:pt>
                <c:pt idx="68">
                  <c:v>40690</c:v>
                </c:pt>
                <c:pt idx="69">
                  <c:v>40697</c:v>
                </c:pt>
                <c:pt idx="70">
                  <c:v>40704</c:v>
                </c:pt>
                <c:pt idx="71">
                  <c:v>40711</c:v>
                </c:pt>
                <c:pt idx="72">
                  <c:v>40718</c:v>
                </c:pt>
                <c:pt idx="73">
                  <c:v>40725</c:v>
                </c:pt>
                <c:pt idx="74">
                  <c:v>40732</c:v>
                </c:pt>
                <c:pt idx="75">
                  <c:v>40739</c:v>
                </c:pt>
                <c:pt idx="76">
                  <c:v>40746</c:v>
                </c:pt>
                <c:pt idx="77">
                  <c:v>40753</c:v>
                </c:pt>
                <c:pt idx="78">
                  <c:v>40760</c:v>
                </c:pt>
                <c:pt idx="79">
                  <c:v>40767</c:v>
                </c:pt>
                <c:pt idx="80">
                  <c:v>40774</c:v>
                </c:pt>
                <c:pt idx="81">
                  <c:v>40781</c:v>
                </c:pt>
                <c:pt idx="82">
                  <c:v>40788</c:v>
                </c:pt>
                <c:pt idx="83">
                  <c:v>40795</c:v>
                </c:pt>
                <c:pt idx="84">
                  <c:v>40802</c:v>
                </c:pt>
                <c:pt idx="85">
                  <c:v>40809</c:v>
                </c:pt>
                <c:pt idx="86">
                  <c:v>40816</c:v>
                </c:pt>
                <c:pt idx="87">
                  <c:v>40823</c:v>
                </c:pt>
                <c:pt idx="88">
                  <c:v>40830</c:v>
                </c:pt>
                <c:pt idx="89">
                  <c:v>40837</c:v>
                </c:pt>
                <c:pt idx="90">
                  <c:v>40844</c:v>
                </c:pt>
                <c:pt idx="91">
                  <c:v>40851</c:v>
                </c:pt>
                <c:pt idx="92">
                  <c:v>40858</c:v>
                </c:pt>
                <c:pt idx="93">
                  <c:v>40865</c:v>
                </c:pt>
                <c:pt idx="94">
                  <c:v>40872</c:v>
                </c:pt>
                <c:pt idx="95">
                  <c:v>40879</c:v>
                </c:pt>
                <c:pt idx="96">
                  <c:v>40886</c:v>
                </c:pt>
                <c:pt idx="97">
                  <c:v>40893</c:v>
                </c:pt>
                <c:pt idx="98">
                  <c:v>40900</c:v>
                </c:pt>
                <c:pt idx="99">
                  <c:v>40907</c:v>
                </c:pt>
                <c:pt idx="100">
                  <c:v>40914</c:v>
                </c:pt>
                <c:pt idx="101">
                  <c:v>40921</c:v>
                </c:pt>
                <c:pt idx="102">
                  <c:v>40928</c:v>
                </c:pt>
                <c:pt idx="103">
                  <c:v>40935</c:v>
                </c:pt>
                <c:pt idx="104">
                  <c:v>40942</c:v>
                </c:pt>
                <c:pt idx="105">
                  <c:v>40949</c:v>
                </c:pt>
                <c:pt idx="106">
                  <c:v>40956</c:v>
                </c:pt>
                <c:pt idx="107">
                  <c:v>40963</c:v>
                </c:pt>
                <c:pt idx="108">
                  <c:v>40970</c:v>
                </c:pt>
                <c:pt idx="109">
                  <c:v>40977</c:v>
                </c:pt>
                <c:pt idx="110">
                  <c:v>40984</c:v>
                </c:pt>
                <c:pt idx="111">
                  <c:v>40991</c:v>
                </c:pt>
                <c:pt idx="112">
                  <c:v>40998</c:v>
                </c:pt>
                <c:pt idx="113">
                  <c:v>41005</c:v>
                </c:pt>
                <c:pt idx="114">
                  <c:v>41012</c:v>
                </c:pt>
                <c:pt idx="115">
                  <c:v>41019</c:v>
                </c:pt>
                <c:pt idx="116">
                  <c:v>41026</c:v>
                </c:pt>
                <c:pt idx="117">
                  <c:v>41033</c:v>
                </c:pt>
                <c:pt idx="118">
                  <c:v>41040</c:v>
                </c:pt>
                <c:pt idx="119">
                  <c:v>41047</c:v>
                </c:pt>
                <c:pt idx="120">
                  <c:v>41054</c:v>
                </c:pt>
                <c:pt idx="121">
                  <c:v>41061</c:v>
                </c:pt>
                <c:pt idx="122">
                  <c:v>41068</c:v>
                </c:pt>
                <c:pt idx="123">
                  <c:v>41075</c:v>
                </c:pt>
                <c:pt idx="124">
                  <c:v>41082</c:v>
                </c:pt>
                <c:pt idx="125">
                  <c:v>41089</c:v>
                </c:pt>
                <c:pt idx="126">
                  <c:v>41096</c:v>
                </c:pt>
                <c:pt idx="127">
                  <c:v>41103</c:v>
                </c:pt>
                <c:pt idx="128">
                  <c:v>41110</c:v>
                </c:pt>
                <c:pt idx="129">
                  <c:v>41117</c:v>
                </c:pt>
                <c:pt idx="130">
                  <c:v>41124</c:v>
                </c:pt>
                <c:pt idx="131">
                  <c:v>41131</c:v>
                </c:pt>
                <c:pt idx="132">
                  <c:v>41138</c:v>
                </c:pt>
                <c:pt idx="133">
                  <c:v>41145</c:v>
                </c:pt>
                <c:pt idx="134">
                  <c:v>41152</c:v>
                </c:pt>
                <c:pt idx="135">
                  <c:v>41159</c:v>
                </c:pt>
                <c:pt idx="136">
                  <c:v>41166</c:v>
                </c:pt>
                <c:pt idx="137">
                  <c:v>41173</c:v>
                </c:pt>
                <c:pt idx="138">
                  <c:v>41180</c:v>
                </c:pt>
                <c:pt idx="139">
                  <c:v>41187</c:v>
                </c:pt>
                <c:pt idx="140">
                  <c:v>41194</c:v>
                </c:pt>
                <c:pt idx="141">
                  <c:v>41201</c:v>
                </c:pt>
                <c:pt idx="142">
                  <c:v>41208</c:v>
                </c:pt>
              </c:numCache>
            </c:numRef>
          </c:cat>
          <c:val>
            <c:numRef>
              <c:f>Sales_Data!$D$2:$D$144</c:f>
              <c:numCache>
                <c:formatCode>0.00</c:formatCode>
                <c:ptCount val="143"/>
                <c:pt idx="0">
                  <c:v>24924.5</c:v>
                </c:pt>
                <c:pt idx="1">
                  <c:v>46039.49</c:v>
                </c:pt>
                <c:pt idx="2">
                  <c:v>41595.550000000003</c:v>
                </c:pt>
                <c:pt idx="3">
                  <c:v>19403.54</c:v>
                </c:pt>
                <c:pt idx="4">
                  <c:v>21827.9</c:v>
                </c:pt>
                <c:pt idx="5">
                  <c:v>21043.39</c:v>
                </c:pt>
                <c:pt idx="6">
                  <c:v>22136.639999999999</c:v>
                </c:pt>
                <c:pt idx="7">
                  <c:v>26229.21</c:v>
                </c:pt>
                <c:pt idx="8">
                  <c:v>57258.43</c:v>
                </c:pt>
                <c:pt idx="9">
                  <c:v>42960.91</c:v>
                </c:pt>
                <c:pt idx="10">
                  <c:v>17596.96</c:v>
                </c:pt>
                <c:pt idx="11">
                  <c:v>16145.35</c:v>
                </c:pt>
                <c:pt idx="12">
                  <c:v>16555.11</c:v>
                </c:pt>
                <c:pt idx="13">
                  <c:v>17413.939999999999</c:v>
                </c:pt>
                <c:pt idx="14">
                  <c:v>18926.740000000002</c:v>
                </c:pt>
                <c:pt idx="15">
                  <c:v>14773.04</c:v>
                </c:pt>
                <c:pt idx="16">
                  <c:v>15580.43</c:v>
                </c:pt>
                <c:pt idx="17">
                  <c:v>17558.09</c:v>
                </c:pt>
                <c:pt idx="18">
                  <c:v>16637.62</c:v>
                </c:pt>
                <c:pt idx="19">
                  <c:v>16216.27</c:v>
                </c:pt>
                <c:pt idx="20">
                  <c:v>16328.72</c:v>
                </c:pt>
                <c:pt idx="21">
                  <c:v>16333.14</c:v>
                </c:pt>
                <c:pt idx="22">
                  <c:v>17688.759999999998</c:v>
                </c:pt>
                <c:pt idx="23">
                  <c:v>17150.84</c:v>
                </c:pt>
                <c:pt idx="24">
                  <c:v>15360.45</c:v>
                </c:pt>
                <c:pt idx="25">
                  <c:v>15381.82</c:v>
                </c:pt>
                <c:pt idx="26">
                  <c:v>17508.41</c:v>
                </c:pt>
                <c:pt idx="27">
                  <c:v>15536.4</c:v>
                </c:pt>
                <c:pt idx="28">
                  <c:v>15740.13</c:v>
                </c:pt>
                <c:pt idx="29">
                  <c:v>15793.87</c:v>
                </c:pt>
                <c:pt idx="30">
                  <c:v>16241.78</c:v>
                </c:pt>
                <c:pt idx="31">
                  <c:v>18194.740000000002</c:v>
                </c:pt>
                <c:pt idx="32">
                  <c:v>19354.23</c:v>
                </c:pt>
                <c:pt idx="33">
                  <c:v>18122.52</c:v>
                </c:pt>
                <c:pt idx="34">
                  <c:v>20094.189999999999</c:v>
                </c:pt>
                <c:pt idx="35">
                  <c:v>23388.03</c:v>
                </c:pt>
                <c:pt idx="36">
                  <c:v>26978.34</c:v>
                </c:pt>
                <c:pt idx="37">
                  <c:v>25543.040000000001</c:v>
                </c:pt>
                <c:pt idx="38">
                  <c:v>38640.93</c:v>
                </c:pt>
                <c:pt idx="39">
                  <c:v>34238.879999999997</c:v>
                </c:pt>
                <c:pt idx="40">
                  <c:v>19549.39</c:v>
                </c:pt>
                <c:pt idx="41">
                  <c:v>19552.84</c:v>
                </c:pt>
                <c:pt idx="42">
                  <c:v>18820.29</c:v>
                </c:pt>
                <c:pt idx="43">
                  <c:v>22517.56</c:v>
                </c:pt>
                <c:pt idx="44">
                  <c:v>31497.65</c:v>
                </c:pt>
                <c:pt idx="45">
                  <c:v>44912.86</c:v>
                </c:pt>
                <c:pt idx="46">
                  <c:v>55931.23</c:v>
                </c:pt>
                <c:pt idx="47">
                  <c:v>19124.580000000002</c:v>
                </c:pt>
                <c:pt idx="48">
                  <c:v>15984.24</c:v>
                </c:pt>
                <c:pt idx="49">
                  <c:v>17359.7</c:v>
                </c:pt>
                <c:pt idx="50">
                  <c:v>17341.47</c:v>
                </c:pt>
                <c:pt idx="51">
                  <c:v>18461.18</c:v>
                </c:pt>
                <c:pt idx="52">
                  <c:v>21665.759999999998</c:v>
                </c:pt>
                <c:pt idx="53">
                  <c:v>37887.17</c:v>
                </c:pt>
                <c:pt idx="54">
                  <c:v>46845.87</c:v>
                </c:pt>
                <c:pt idx="55">
                  <c:v>19363.830000000002</c:v>
                </c:pt>
                <c:pt idx="56">
                  <c:v>20327.61</c:v>
                </c:pt>
                <c:pt idx="57">
                  <c:v>21280.400000000001</c:v>
                </c:pt>
                <c:pt idx="58">
                  <c:v>20334.23</c:v>
                </c:pt>
                <c:pt idx="59">
                  <c:v>20881.099999999999</c:v>
                </c:pt>
                <c:pt idx="60">
                  <c:v>20398.09</c:v>
                </c:pt>
                <c:pt idx="61">
                  <c:v>23873.79</c:v>
                </c:pt>
                <c:pt idx="62">
                  <c:v>28762.37</c:v>
                </c:pt>
                <c:pt idx="63">
                  <c:v>50510.31</c:v>
                </c:pt>
                <c:pt idx="64">
                  <c:v>41512.39</c:v>
                </c:pt>
                <c:pt idx="65">
                  <c:v>20138.189999999999</c:v>
                </c:pt>
                <c:pt idx="66">
                  <c:v>17235.150000000001</c:v>
                </c:pt>
                <c:pt idx="67">
                  <c:v>15136.78</c:v>
                </c:pt>
                <c:pt idx="68">
                  <c:v>15741.6</c:v>
                </c:pt>
                <c:pt idx="69">
                  <c:v>16434.150000000001</c:v>
                </c:pt>
                <c:pt idx="70">
                  <c:v>15883.52</c:v>
                </c:pt>
                <c:pt idx="71">
                  <c:v>14978.09</c:v>
                </c:pt>
                <c:pt idx="72">
                  <c:v>15682.81</c:v>
                </c:pt>
                <c:pt idx="73">
                  <c:v>15363.5</c:v>
                </c:pt>
                <c:pt idx="74">
                  <c:v>16148.87</c:v>
                </c:pt>
                <c:pt idx="75">
                  <c:v>15654.85</c:v>
                </c:pt>
                <c:pt idx="76">
                  <c:v>15766.6</c:v>
                </c:pt>
                <c:pt idx="77">
                  <c:v>15922.41</c:v>
                </c:pt>
                <c:pt idx="78">
                  <c:v>15295.55</c:v>
                </c:pt>
                <c:pt idx="79">
                  <c:v>14539.79</c:v>
                </c:pt>
                <c:pt idx="80">
                  <c:v>14689.24</c:v>
                </c:pt>
                <c:pt idx="81">
                  <c:v>14537.37</c:v>
                </c:pt>
                <c:pt idx="82">
                  <c:v>15277.27</c:v>
                </c:pt>
                <c:pt idx="83">
                  <c:v>17746.68</c:v>
                </c:pt>
                <c:pt idx="84">
                  <c:v>18535.48</c:v>
                </c:pt>
                <c:pt idx="85">
                  <c:v>17859.3</c:v>
                </c:pt>
                <c:pt idx="86">
                  <c:v>18337.68</c:v>
                </c:pt>
                <c:pt idx="87">
                  <c:v>20797.580000000002</c:v>
                </c:pt>
                <c:pt idx="88">
                  <c:v>23077.55</c:v>
                </c:pt>
                <c:pt idx="89">
                  <c:v>23351.8</c:v>
                </c:pt>
                <c:pt idx="90">
                  <c:v>31579.9</c:v>
                </c:pt>
                <c:pt idx="91">
                  <c:v>39886.06</c:v>
                </c:pt>
                <c:pt idx="92">
                  <c:v>18689.54</c:v>
                </c:pt>
                <c:pt idx="93">
                  <c:v>19050.66</c:v>
                </c:pt>
                <c:pt idx="94">
                  <c:v>20911.25</c:v>
                </c:pt>
                <c:pt idx="95">
                  <c:v>25293.49</c:v>
                </c:pt>
                <c:pt idx="96">
                  <c:v>33305.919999999998</c:v>
                </c:pt>
                <c:pt idx="97">
                  <c:v>45773.03</c:v>
                </c:pt>
                <c:pt idx="98">
                  <c:v>46788.75</c:v>
                </c:pt>
                <c:pt idx="99">
                  <c:v>23350.880000000001</c:v>
                </c:pt>
                <c:pt idx="100">
                  <c:v>16567.689999999999</c:v>
                </c:pt>
                <c:pt idx="101">
                  <c:v>16894.400000000001</c:v>
                </c:pt>
                <c:pt idx="102">
                  <c:v>18365.099999999999</c:v>
                </c:pt>
                <c:pt idx="103">
                  <c:v>18378.16</c:v>
                </c:pt>
                <c:pt idx="104">
                  <c:v>23510.49</c:v>
                </c:pt>
                <c:pt idx="105">
                  <c:v>36988.49</c:v>
                </c:pt>
                <c:pt idx="106">
                  <c:v>54060.1</c:v>
                </c:pt>
                <c:pt idx="107">
                  <c:v>20124.22</c:v>
                </c:pt>
                <c:pt idx="108">
                  <c:v>20113.03</c:v>
                </c:pt>
                <c:pt idx="109">
                  <c:v>21140.07</c:v>
                </c:pt>
                <c:pt idx="110">
                  <c:v>22366.880000000001</c:v>
                </c:pt>
                <c:pt idx="111">
                  <c:v>22107.7</c:v>
                </c:pt>
                <c:pt idx="112">
                  <c:v>28952.86</c:v>
                </c:pt>
                <c:pt idx="113">
                  <c:v>57592.12</c:v>
                </c:pt>
                <c:pt idx="114">
                  <c:v>34684.21</c:v>
                </c:pt>
                <c:pt idx="115">
                  <c:v>16976.189999999999</c:v>
                </c:pt>
                <c:pt idx="116">
                  <c:v>16347.6</c:v>
                </c:pt>
                <c:pt idx="117">
                  <c:v>17147.439999999999</c:v>
                </c:pt>
                <c:pt idx="118">
                  <c:v>18164.2</c:v>
                </c:pt>
                <c:pt idx="119">
                  <c:v>18517.79</c:v>
                </c:pt>
                <c:pt idx="120">
                  <c:v>16963.55</c:v>
                </c:pt>
                <c:pt idx="121">
                  <c:v>16065.49</c:v>
                </c:pt>
                <c:pt idx="122">
                  <c:v>17666</c:v>
                </c:pt>
                <c:pt idx="123">
                  <c:v>17558.82</c:v>
                </c:pt>
                <c:pt idx="124">
                  <c:v>16633.41</c:v>
                </c:pt>
                <c:pt idx="125">
                  <c:v>15722.82</c:v>
                </c:pt>
                <c:pt idx="126">
                  <c:v>17823.37</c:v>
                </c:pt>
                <c:pt idx="127">
                  <c:v>16566.18</c:v>
                </c:pt>
                <c:pt idx="128">
                  <c:v>16348.06</c:v>
                </c:pt>
                <c:pt idx="129">
                  <c:v>15731.18</c:v>
                </c:pt>
                <c:pt idx="130">
                  <c:v>16628.310000000001</c:v>
                </c:pt>
                <c:pt idx="131">
                  <c:v>16119.92</c:v>
                </c:pt>
                <c:pt idx="132">
                  <c:v>17330.7</c:v>
                </c:pt>
                <c:pt idx="133">
                  <c:v>16286.4</c:v>
                </c:pt>
                <c:pt idx="134">
                  <c:v>16680.240000000002</c:v>
                </c:pt>
                <c:pt idx="135">
                  <c:v>18322.37</c:v>
                </c:pt>
                <c:pt idx="136">
                  <c:v>19616.22</c:v>
                </c:pt>
                <c:pt idx="137">
                  <c:v>19251.5</c:v>
                </c:pt>
                <c:pt idx="138">
                  <c:v>18947.810000000001</c:v>
                </c:pt>
                <c:pt idx="139">
                  <c:v>21904.47</c:v>
                </c:pt>
                <c:pt idx="140">
                  <c:v>22764.01</c:v>
                </c:pt>
                <c:pt idx="141">
                  <c:v>24185.27</c:v>
                </c:pt>
                <c:pt idx="142">
                  <c:v>27390.81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91-4D3E-BAB9-1210D3CC5551}"/>
            </c:ext>
          </c:extLst>
        </c:ser>
        <c:ser>
          <c:idx val="1"/>
          <c:order val="1"/>
          <c:tx>
            <c:strRef>
              <c:f>Sales_Data!$K$1</c:f>
              <c:strCache>
                <c:ptCount val="1"/>
                <c:pt idx="0">
                  <c:v>3_Week_Forecast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numRef>
              <c:f>Sales_Data!$C$2:$C$144</c:f>
              <c:numCache>
                <c:formatCode>yyyy\-mm\-dd;@</c:formatCode>
                <c:ptCount val="143"/>
                <c:pt idx="0">
                  <c:v>40214</c:v>
                </c:pt>
                <c:pt idx="1">
                  <c:v>40221</c:v>
                </c:pt>
                <c:pt idx="2">
                  <c:v>40228</c:v>
                </c:pt>
                <c:pt idx="3">
                  <c:v>40235</c:v>
                </c:pt>
                <c:pt idx="4">
                  <c:v>40242</c:v>
                </c:pt>
                <c:pt idx="5">
                  <c:v>40249</c:v>
                </c:pt>
                <c:pt idx="6">
                  <c:v>40256</c:v>
                </c:pt>
                <c:pt idx="7">
                  <c:v>40263</c:v>
                </c:pt>
                <c:pt idx="8">
                  <c:v>40270</c:v>
                </c:pt>
                <c:pt idx="9">
                  <c:v>40277</c:v>
                </c:pt>
                <c:pt idx="10">
                  <c:v>40284</c:v>
                </c:pt>
                <c:pt idx="11">
                  <c:v>40291</c:v>
                </c:pt>
                <c:pt idx="12">
                  <c:v>40298</c:v>
                </c:pt>
                <c:pt idx="13">
                  <c:v>40305</c:v>
                </c:pt>
                <c:pt idx="14">
                  <c:v>40312</c:v>
                </c:pt>
                <c:pt idx="15">
                  <c:v>40319</c:v>
                </c:pt>
                <c:pt idx="16">
                  <c:v>40326</c:v>
                </c:pt>
                <c:pt idx="17">
                  <c:v>40333</c:v>
                </c:pt>
                <c:pt idx="18">
                  <c:v>40340</c:v>
                </c:pt>
                <c:pt idx="19">
                  <c:v>40347</c:v>
                </c:pt>
                <c:pt idx="20">
                  <c:v>40354</c:v>
                </c:pt>
                <c:pt idx="21">
                  <c:v>40361</c:v>
                </c:pt>
                <c:pt idx="22">
                  <c:v>40368</c:v>
                </c:pt>
                <c:pt idx="23">
                  <c:v>40375</c:v>
                </c:pt>
                <c:pt idx="24">
                  <c:v>40382</c:v>
                </c:pt>
                <c:pt idx="25">
                  <c:v>40389</c:v>
                </c:pt>
                <c:pt idx="26">
                  <c:v>40396</c:v>
                </c:pt>
                <c:pt idx="27">
                  <c:v>40403</c:v>
                </c:pt>
                <c:pt idx="28">
                  <c:v>40410</c:v>
                </c:pt>
                <c:pt idx="29">
                  <c:v>40417</c:v>
                </c:pt>
                <c:pt idx="30">
                  <c:v>40424</c:v>
                </c:pt>
                <c:pt idx="31">
                  <c:v>40431</c:v>
                </c:pt>
                <c:pt idx="32">
                  <c:v>40438</c:v>
                </c:pt>
                <c:pt idx="33">
                  <c:v>40445</c:v>
                </c:pt>
                <c:pt idx="34">
                  <c:v>40452</c:v>
                </c:pt>
                <c:pt idx="35">
                  <c:v>40459</c:v>
                </c:pt>
                <c:pt idx="36">
                  <c:v>40466</c:v>
                </c:pt>
                <c:pt idx="37">
                  <c:v>40473</c:v>
                </c:pt>
                <c:pt idx="38">
                  <c:v>40480</c:v>
                </c:pt>
                <c:pt idx="39">
                  <c:v>40487</c:v>
                </c:pt>
                <c:pt idx="40">
                  <c:v>40494</c:v>
                </c:pt>
                <c:pt idx="41">
                  <c:v>40501</c:v>
                </c:pt>
                <c:pt idx="42">
                  <c:v>40508</c:v>
                </c:pt>
                <c:pt idx="43">
                  <c:v>40515</c:v>
                </c:pt>
                <c:pt idx="44">
                  <c:v>40522</c:v>
                </c:pt>
                <c:pt idx="45">
                  <c:v>40529</c:v>
                </c:pt>
                <c:pt idx="46">
                  <c:v>40536</c:v>
                </c:pt>
                <c:pt idx="47">
                  <c:v>40543</c:v>
                </c:pt>
                <c:pt idx="48">
                  <c:v>40550</c:v>
                </c:pt>
                <c:pt idx="49">
                  <c:v>40557</c:v>
                </c:pt>
                <c:pt idx="50">
                  <c:v>40564</c:v>
                </c:pt>
                <c:pt idx="51">
                  <c:v>40571</c:v>
                </c:pt>
                <c:pt idx="52">
                  <c:v>40578</c:v>
                </c:pt>
                <c:pt idx="53">
                  <c:v>40585</c:v>
                </c:pt>
                <c:pt idx="54">
                  <c:v>40592</c:v>
                </c:pt>
                <c:pt idx="55">
                  <c:v>40599</c:v>
                </c:pt>
                <c:pt idx="56">
                  <c:v>40606</c:v>
                </c:pt>
                <c:pt idx="57">
                  <c:v>40613</c:v>
                </c:pt>
                <c:pt idx="58">
                  <c:v>40620</c:v>
                </c:pt>
                <c:pt idx="59">
                  <c:v>40627</c:v>
                </c:pt>
                <c:pt idx="60">
                  <c:v>40634</c:v>
                </c:pt>
                <c:pt idx="61">
                  <c:v>40641</c:v>
                </c:pt>
                <c:pt idx="62">
                  <c:v>40648</c:v>
                </c:pt>
                <c:pt idx="63">
                  <c:v>40655</c:v>
                </c:pt>
                <c:pt idx="64">
                  <c:v>40662</c:v>
                </c:pt>
                <c:pt idx="65">
                  <c:v>40669</c:v>
                </c:pt>
                <c:pt idx="66">
                  <c:v>40676</c:v>
                </c:pt>
                <c:pt idx="67">
                  <c:v>40683</c:v>
                </c:pt>
                <c:pt idx="68">
                  <c:v>40690</c:v>
                </c:pt>
                <c:pt idx="69">
                  <c:v>40697</c:v>
                </c:pt>
                <c:pt idx="70">
                  <c:v>40704</c:v>
                </c:pt>
                <c:pt idx="71">
                  <c:v>40711</c:v>
                </c:pt>
                <c:pt idx="72">
                  <c:v>40718</c:v>
                </c:pt>
                <c:pt idx="73">
                  <c:v>40725</c:v>
                </c:pt>
                <c:pt idx="74">
                  <c:v>40732</c:v>
                </c:pt>
                <c:pt idx="75">
                  <c:v>40739</c:v>
                </c:pt>
                <c:pt idx="76">
                  <c:v>40746</c:v>
                </c:pt>
                <c:pt idx="77">
                  <c:v>40753</c:v>
                </c:pt>
                <c:pt idx="78">
                  <c:v>40760</c:v>
                </c:pt>
                <c:pt idx="79">
                  <c:v>40767</c:v>
                </c:pt>
                <c:pt idx="80">
                  <c:v>40774</c:v>
                </c:pt>
                <c:pt idx="81">
                  <c:v>40781</c:v>
                </c:pt>
                <c:pt idx="82">
                  <c:v>40788</c:v>
                </c:pt>
                <c:pt idx="83">
                  <c:v>40795</c:v>
                </c:pt>
                <c:pt idx="84">
                  <c:v>40802</c:v>
                </c:pt>
                <c:pt idx="85">
                  <c:v>40809</c:v>
                </c:pt>
                <c:pt idx="86">
                  <c:v>40816</c:v>
                </c:pt>
                <c:pt idx="87">
                  <c:v>40823</c:v>
                </c:pt>
                <c:pt idx="88">
                  <c:v>40830</c:v>
                </c:pt>
                <c:pt idx="89">
                  <c:v>40837</c:v>
                </c:pt>
                <c:pt idx="90">
                  <c:v>40844</c:v>
                </c:pt>
                <c:pt idx="91">
                  <c:v>40851</c:v>
                </c:pt>
                <c:pt idx="92">
                  <c:v>40858</c:v>
                </c:pt>
                <c:pt idx="93">
                  <c:v>40865</c:v>
                </c:pt>
                <c:pt idx="94">
                  <c:v>40872</c:v>
                </c:pt>
                <c:pt idx="95">
                  <c:v>40879</c:v>
                </c:pt>
                <c:pt idx="96">
                  <c:v>40886</c:v>
                </c:pt>
                <c:pt idx="97">
                  <c:v>40893</c:v>
                </c:pt>
                <c:pt idx="98">
                  <c:v>40900</c:v>
                </c:pt>
                <c:pt idx="99">
                  <c:v>40907</c:v>
                </c:pt>
                <c:pt idx="100">
                  <c:v>40914</c:v>
                </c:pt>
                <c:pt idx="101">
                  <c:v>40921</c:v>
                </c:pt>
                <c:pt idx="102">
                  <c:v>40928</c:v>
                </c:pt>
                <c:pt idx="103">
                  <c:v>40935</c:v>
                </c:pt>
                <c:pt idx="104">
                  <c:v>40942</c:v>
                </c:pt>
                <c:pt idx="105">
                  <c:v>40949</c:v>
                </c:pt>
                <c:pt idx="106">
                  <c:v>40956</c:v>
                </c:pt>
                <c:pt idx="107">
                  <c:v>40963</c:v>
                </c:pt>
                <c:pt idx="108">
                  <c:v>40970</c:v>
                </c:pt>
                <c:pt idx="109">
                  <c:v>40977</c:v>
                </c:pt>
                <c:pt idx="110">
                  <c:v>40984</c:v>
                </c:pt>
                <c:pt idx="111">
                  <c:v>40991</c:v>
                </c:pt>
                <c:pt idx="112">
                  <c:v>40998</c:v>
                </c:pt>
                <c:pt idx="113">
                  <c:v>41005</c:v>
                </c:pt>
                <c:pt idx="114">
                  <c:v>41012</c:v>
                </c:pt>
                <c:pt idx="115">
                  <c:v>41019</c:v>
                </c:pt>
                <c:pt idx="116">
                  <c:v>41026</c:v>
                </c:pt>
                <c:pt idx="117">
                  <c:v>41033</c:v>
                </c:pt>
                <c:pt idx="118">
                  <c:v>41040</c:v>
                </c:pt>
                <c:pt idx="119">
                  <c:v>41047</c:v>
                </c:pt>
                <c:pt idx="120">
                  <c:v>41054</c:v>
                </c:pt>
                <c:pt idx="121">
                  <c:v>41061</c:v>
                </c:pt>
                <c:pt idx="122">
                  <c:v>41068</c:v>
                </c:pt>
                <c:pt idx="123">
                  <c:v>41075</c:v>
                </c:pt>
                <c:pt idx="124">
                  <c:v>41082</c:v>
                </c:pt>
                <c:pt idx="125">
                  <c:v>41089</c:v>
                </c:pt>
                <c:pt idx="126">
                  <c:v>41096</c:v>
                </c:pt>
                <c:pt idx="127">
                  <c:v>41103</c:v>
                </c:pt>
                <c:pt idx="128">
                  <c:v>41110</c:v>
                </c:pt>
                <c:pt idx="129">
                  <c:v>41117</c:v>
                </c:pt>
                <c:pt idx="130">
                  <c:v>41124</c:v>
                </c:pt>
                <c:pt idx="131">
                  <c:v>41131</c:v>
                </c:pt>
                <c:pt idx="132">
                  <c:v>41138</c:v>
                </c:pt>
                <c:pt idx="133">
                  <c:v>41145</c:v>
                </c:pt>
                <c:pt idx="134">
                  <c:v>41152</c:v>
                </c:pt>
                <c:pt idx="135">
                  <c:v>41159</c:v>
                </c:pt>
                <c:pt idx="136">
                  <c:v>41166</c:v>
                </c:pt>
                <c:pt idx="137">
                  <c:v>41173</c:v>
                </c:pt>
                <c:pt idx="138">
                  <c:v>41180</c:v>
                </c:pt>
                <c:pt idx="139">
                  <c:v>41187</c:v>
                </c:pt>
                <c:pt idx="140">
                  <c:v>41194</c:v>
                </c:pt>
                <c:pt idx="141">
                  <c:v>41201</c:v>
                </c:pt>
                <c:pt idx="142">
                  <c:v>41208</c:v>
                </c:pt>
              </c:numCache>
            </c:numRef>
          </c:cat>
          <c:val>
            <c:numRef>
              <c:f>Sales_Data!$K$2:$K$144</c:f>
              <c:numCache>
                <c:formatCode>General</c:formatCode>
                <c:ptCount val="143"/>
                <c:pt idx="3" formatCode="0.00">
                  <c:v>37519.846666666665</c:v>
                </c:pt>
                <c:pt idx="4" formatCode="0.00">
                  <c:v>35679.526666666672</c:v>
                </c:pt>
                <c:pt idx="5" formatCode="0.00">
                  <c:v>27608.99666666667</c:v>
                </c:pt>
                <c:pt idx="6" formatCode="0.00">
                  <c:v>20758.276666666668</c:v>
                </c:pt>
                <c:pt idx="7" formatCode="0.00">
                  <c:v>21669.31</c:v>
                </c:pt>
                <c:pt idx="8" formatCode="0.00">
                  <c:v>23136.41333333333</c:v>
                </c:pt>
                <c:pt idx="9" formatCode="0.00">
                  <c:v>35208.093333333331</c:v>
                </c:pt>
                <c:pt idx="10" formatCode="0.00">
                  <c:v>42149.51666666667</c:v>
                </c:pt>
                <c:pt idx="11" formatCode="0.00">
                  <c:v>39272.1</c:v>
                </c:pt>
                <c:pt idx="12" formatCode="0.00">
                  <c:v>25567.74</c:v>
                </c:pt>
                <c:pt idx="13" formatCode="0.00">
                  <c:v>16765.806666666667</c:v>
                </c:pt>
                <c:pt idx="14" formatCode="0.00">
                  <c:v>16704.8</c:v>
                </c:pt>
                <c:pt idx="15" formatCode="0.00">
                  <c:v>17631.930000000004</c:v>
                </c:pt>
                <c:pt idx="16" formatCode="0.00">
                  <c:v>17037.906666666666</c:v>
                </c:pt>
                <c:pt idx="17" formatCode="0.00">
                  <c:v>16426.736666666668</c:v>
                </c:pt>
                <c:pt idx="18" formatCode="0.00">
                  <c:v>15970.519999999999</c:v>
                </c:pt>
                <c:pt idx="19" formatCode="0.00">
                  <c:v>16592.046666666665</c:v>
                </c:pt>
                <c:pt idx="20" formatCode="0.00">
                  <c:v>16803.993333333332</c:v>
                </c:pt>
                <c:pt idx="21" formatCode="0.00">
                  <c:v>16394.203333333335</c:v>
                </c:pt>
                <c:pt idx="22" formatCode="0.00">
                  <c:v>16292.71</c:v>
                </c:pt>
                <c:pt idx="23" formatCode="0.00">
                  <c:v>16783.539999999997</c:v>
                </c:pt>
                <c:pt idx="24" formatCode="0.00">
                  <c:v>17057.579999999998</c:v>
                </c:pt>
                <c:pt idx="25" formatCode="0.00">
                  <c:v>16733.350000000002</c:v>
                </c:pt>
                <c:pt idx="26" formatCode="0.00">
                  <c:v>15964.37</c:v>
                </c:pt>
                <c:pt idx="27" formatCode="0.00">
                  <c:v>16083.56</c:v>
                </c:pt>
                <c:pt idx="28" formatCode="0.00">
                  <c:v>16142.21</c:v>
                </c:pt>
                <c:pt idx="29" formatCode="0.00">
                  <c:v>16261.646666666666</c:v>
                </c:pt>
                <c:pt idx="30" formatCode="0.00">
                  <c:v>15690.133333333333</c:v>
                </c:pt>
                <c:pt idx="31" formatCode="0.00">
                  <c:v>15925.26</c:v>
                </c:pt>
                <c:pt idx="32" formatCode="0.00">
                  <c:v>16743.463333333333</c:v>
                </c:pt>
                <c:pt idx="33" formatCode="0.00">
                  <c:v>17930.25</c:v>
                </c:pt>
                <c:pt idx="34" formatCode="0.00">
                  <c:v>18557.163333333334</c:v>
                </c:pt>
                <c:pt idx="35" formatCode="0.00">
                  <c:v>19190.313333333335</c:v>
                </c:pt>
                <c:pt idx="36" formatCode="0.00">
                  <c:v>20534.913333333334</c:v>
                </c:pt>
                <c:pt idx="37" formatCode="0.00">
                  <c:v>23486.853333333333</c:v>
                </c:pt>
                <c:pt idx="38" formatCode="0.00">
                  <c:v>25303.136666666669</c:v>
                </c:pt>
                <c:pt idx="39" formatCode="0.00">
                  <c:v>30387.436666666665</c:v>
                </c:pt>
                <c:pt idx="40" formatCode="0.00">
                  <c:v>32807.616666666669</c:v>
                </c:pt>
                <c:pt idx="41" formatCode="0.00">
                  <c:v>30809.733333333334</c:v>
                </c:pt>
                <c:pt idx="42" formatCode="0.00">
                  <c:v>24447.036666666667</c:v>
                </c:pt>
                <c:pt idx="43" formatCode="0.00">
                  <c:v>19307.506666666664</c:v>
                </c:pt>
                <c:pt idx="44" formatCode="0.00">
                  <c:v>20296.896666666667</c:v>
                </c:pt>
                <c:pt idx="45" formatCode="0.00">
                  <c:v>24278.5</c:v>
                </c:pt>
                <c:pt idx="46" formatCode="0.00">
                  <c:v>32976.023333333338</c:v>
                </c:pt>
                <c:pt idx="47" formatCode="0.00">
                  <c:v>44113.913333333338</c:v>
                </c:pt>
                <c:pt idx="48" formatCode="0.00">
                  <c:v>39989.556666666664</c:v>
                </c:pt>
                <c:pt idx="49" formatCode="0.00">
                  <c:v>30346.683333333334</c:v>
                </c:pt>
                <c:pt idx="50" formatCode="0.00">
                  <c:v>17489.506666666668</c:v>
                </c:pt>
                <c:pt idx="51" formatCode="0.00">
                  <c:v>16895.136666666669</c:v>
                </c:pt>
                <c:pt idx="52" formatCode="0.00">
                  <c:v>17720.783333333333</c:v>
                </c:pt>
                <c:pt idx="53" formatCode="0.00">
                  <c:v>19156.136666666669</c:v>
                </c:pt>
                <c:pt idx="54" formatCode="0.00">
                  <c:v>26004.703333333335</c:v>
                </c:pt>
                <c:pt idx="55" formatCode="0.00">
                  <c:v>35466.266666666663</c:v>
                </c:pt>
                <c:pt idx="56" formatCode="0.00">
                  <c:v>34698.956666666672</c:v>
                </c:pt>
                <c:pt idx="57" formatCode="0.00">
                  <c:v>28845.770000000004</c:v>
                </c:pt>
                <c:pt idx="58" formatCode="0.00">
                  <c:v>20323.946666666667</c:v>
                </c:pt>
                <c:pt idx="59" formatCode="0.00">
                  <c:v>20647.413333333334</c:v>
                </c:pt>
                <c:pt idx="60" formatCode="0.00">
                  <c:v>20831.91</c:v>
                </c:pt>
                <c:pt idx="61" formatCode="0.00">
                  <c:v>20537.806666666667</c:v>
                </c:pt>
                <c:pt idx="62" formatCode="0.00">
                  <c:v>21717.66</c:v>
                </c:pt>
                <c:pt idx="63" formatCode="0.00">
                  <c:v>24344.75</c:v>
                </c:pt>
                <c:pt idx="64" formatCode="0.00">
                  <c:v>34382.156666666669</c:v>
                </c:pt>
                <c:pt idx="65" formatCode="0.00">
                  <c:v>40261.689999999995</c:v>
                </c:pt>
                <c:pt idx="66" formatCode="0.00">
                  <c:v>37386.963333333333</c:v>
                </c:pt>
                <c:pt idx="67" formatCode="0.00">
                  <c:v>26295.243333333336</c:v>
                </c:pt>
                <c:pt idx="68" formatCode="0.00">
                  <c:v>17503.373333333333</c:v>
                </c:pt>
                <c:pt idx="69" formatCode="0.00">
                  <c:v>16037.843333333332</c:v>
                </c:pt>
                <c:pt idx="70" formatCode="0.00">
                  <c:v>15770.843333333332</c:v>
                </c:pt>
                <c:pt idx="71" formatCode="0.00">
                  <c:v>16019.756666666668</c:v>
                </c:pt>
                <c:pt idx="72" formatCode="0.00">
                  <c:v>15765.253333333334</c:v>
                </c:pt>
                <c:pt idx="73" formatCode="0.00">
                  <c:v>15514.806666666665</c:v>
                </c:pt>
                <c:pt idx="74" formatCode="0.00">
                  <c:v>15341.466666666667</c:v>
                </c:pt>
                <c:pt idx="75" formatCode="0.00">
                  <c:v>15731.726666666667</c:v>
                </c:pt>
                <c:pt idx="76" formatCode="0.00">
                  <c:v>15722.406666666668</c:v>
                </c:pt>
                <c:pt idx="77" formatCode="0.00">
                  <c:v>15856.773333333333</c:v>
                </c:pt>
                <c:pt idx="78" formatCode="0.00">
                  <c:v>15781.286666666667</c:v>
                </c:pt>
                <c:pt idx="79" formatCode="0.00">
                  <c:v>15661.519999999999</c:v>
                </c:pt>
                <c:pt idx="80" formatCode="0.00">
                  <c:v>15252.583333333334</c:v>
                </c:pt>
                <c:pt idx="81" formatCode="0.00">
                  <c:v>14841.526666666667</c:v>
                </c:pt>
                <c:pt idx="82" formatCode="0.00">
                  <c:v>14588.800000000001</c:v>
                </c:pt>
                <c:pt idx="83" formatCode="0.00">
                  <c:v>14834.626666666669</c:v>
                </c:pt>
                <c:pt idx="84" formatCode="0.00">
                  <c:v>15853.773333333333</c:v>
                </c:pt>
                <c:pt idx="85" formatCode="0.00">
                  <c:v>17186.476666666666</c:v>
                </c:pt>
                <c:pt idx="86" formatCode="0.00">
                  <c:v>18047.153333333335</c:v>
                </c:pt>
                <c:pt idx="87" formatCode="0.00">
                  <c:v>18244.153333333332</c:v>
                </c:pt>
                <c:pt idx="88" formatCode="0.00">
                  <c:v>18998.186666666665</c:v>
                </c:pt>
                <c:pt idx="89" formatCode="0.00">
                  <c:v>20737.603333333333</c:v>
                </c:pt>
                <c:pt idx="90" formatCode="0.00">
                  <c:v>22408.976666666669</c:v>
                </c:pt>
                <c:pt idx="91" formatCode="0.00">
                  <c:v>26003.083333333332</c:v>
                </c:pt>
                <c:pt idx="92" formatCode="0.00">
                  <c:v>31605.919999999998</c:v>
                </c:pt>
                <c:pt idx="93" formatCode="0.00">
                  <c:v>30051.833333333332</c:v>
                </c:pt>
                <c:pt idx="94" formatCode="0.00">
                  <c:v>25875.42</c:v>
                </c:pt>
                <c:pt idx="95" formatCode="0.00">
                  <c:v>19550.483333333334</c:v>
                </c:pt>
                <c:pt idx="96" formatCode="0.00">
                  <c:v>21751.800000000003</c:v>
                </c:pt>
                <c:pt idx="97" formatCode="0.00">
                  <c:v>26503.553333333333</c:v>
                </c:pt>
                <c:pt idx="98" formatCode="0.00">
                  <c:v>34790.813333333332</c:v>
                </c:pt>
                <c:pt idx="99" formatCode="0.00">
                  <c:v>41955.9</c:v>
                </c:pt>
                <c:pt idx="100" formatCode="0.00">
                  <c:v>38637.553333333337</c:v>
                </c:pt>
                <c:pt idx="101" formatCode="0.00">
                  <c:v>28902.440000000002</c:v>
                </c:pt>
                <c:pt idx="102" formatCode="0.00">
                  <c:v>18937.656666666666</c:v>
                </c:pt>
                <c:pt idx="103" formatCode="0.00">
                  <c:v>17275.73</c:v>
                </c:pt>
                <c:pt idx="104" formatCode="0.00">
                  <c:v>17879.22</c:v>
                </c:pt>
                <c:pt idx="105" formatCode="0.00">
                  <c:v>20084.583333333332</c:v>
                </c:pt>
                <c:pt idx="106" formatCode="0.00">
                  <c:v>26292.38</c:v>
                </c:pt>
                <c:pt idx="107" formatCode="0.00">
                  <c:v>38186.359999999993</c:v>
                </c:pt>
                <c:pt idx="108" formatCode="0.00">
                  <c:v>37057.603333333333</c:v>
                </c:pt>
                <c:pt idx="109" formatCode="0.00">
                  <c:v>31432.45</c:v>
                </c:pt>
                <c:pt idx="110" formatCode="0.00">
                  <c:v>20459.106666666667</c:v>
                </c:pt>
                <c:pt idx="111" formatCode="0.00">
                  <c:v>21206.66</c:v>
                </c:pt>
                <c:pt idx="112" formatCode="0.00">
                  <c:v>21871.55</c:v>
                </c:pt>
                <c:pt idx="113" formatCode="0.00">
                  <c:v>24475.813333333335</c:v>
                </c:pt>
                <c:pt idx="114" formatCode="0.00">
                  <c:v>36217.56</c:v>
                </c:pt>
                <c:pt idx="115" formatCode="0.00">
                  <c:v>40409.730000000003</c:v>
                </c:pt>
                <c:pt idx="116" formatCode="0.00">
                  <c:v>36417.506666666668</c:v>
                </c:pt>
                <c:pt idx="117" formatCode="0.00">
                  <c:v>22669.333333333332</c:v>
                </c:pt>
                <c:pt idx="118" formatCode="0.00">
                  <c:v>16823.743333333332</c:v>
                </c:pt>
                <c:pt idx="119" formatCode="0.00">
                  <c:v>17219.74666666667</c:v>
                </c:pt>
                <c:pt idx="120" formatCode="0.00">
                  <c:v>17943.143333333333</c:v>
                </c:pt>
                <c:pt idx="121" formatCode="0.00">
                  <c:v>17881.846666666668</c:v>
                </c:pt>
                <c:pt idx="122" formatCode="0.00">
                  <c:v>17182.276666666665</c:v>
                </c:pt>
                <c:pt idx="123" formatCode="0.00">
                  <c:v>16898.346666666668</c:v>
                </c:pt>
                <c:pt idx="124" formatCode="0.00">
                  <c:v>17096.77</c:v>
                </c:pt>
                <c:pt idx="125" formatCode="0.00">
                  <c:v>17286.076666666664</c:v>
                </c:pt>
                <c:pt idx="126" formatCode="0.00">
                  <c:v>16638.349999999999</c:v>
                </c:pt>
                <c:pt idx="127" formatCode="0.00">
                  <c:v>16726.533333333333</c:v>
                </c:pt>
                <c:pt idx="128" formatCode="0.00">
                  <c:v>16704.123333333333</c:v>
                </c:pt>
                <c:pt idx="129" formatCode="0.00">
                  <c:v>16912.536666666667</c:v>
                </c:pt>
                <c:pt idx="130" formatCode="0.00">
                  <c:v>16215.14</c:v>
                </c:pt>
                <c:pt idx="131" formatCode="0.00">
                  <c:v>16235.85</c:v>
                </c:pt>
                <c:pt idx="132" formatCode="0.00">
                  <c:v>16159.803333333335</c:v>
                </c:pt>
                <c:pt idx="133" formatCode="0.00">
                  <c:v>16692.976666666669</c:v>
                </c:pt>
                <c:pt idx="134" formatCode="0.00">
                  <c:v>16579.006666666668</c:v>
                </c:pt>
                <c:pt idx="135" formatCode="0.00">
                  <c:v>16765.78</c:v>
                </c:pt>
                <c:pt idx="136" formatCode="0.00">
                  <c:v>17096.336666666666</c:v>
                </c:pt>
                <c:pt idx="137" formatCode="0.00">
                  <c:v>18206.276666666668</c:v>
                </c:pt>
                <c:pt idx="138" formatCode="0.00">
                  <c:v>19063.363333333331</c:v>
                </c:pt>
                <c:pt idx="139" formatCode="0.00">
                  <c:v>19271.843333333334</c:v>
                </c:pt>
                <c:pt idx="140" formatCode="0.00">
                  <c:v>20034.593333333334</c:v>
                </c:pt>
                <c:pt idx="141" formatCode="0.00">
                  <c:v>21205.429999999997</c:v>
                </c:pt>
                <c:pt idx="142" formatCode="0.00">
                  <c:v>22951.25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91-4D3E-BAB9-1210D3CC5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272967"/>
        <c:axId val="863275015"/>
      </c:lineChart>
      <c:dateAx>
        <c:axId val="863272967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275015"/>
        <c:crosses val="autoZero"/>
        <c:auto val="1"/>
        <c:lblOffset val="100"/>
        <c:baseTimeUnit val="days"/>
      </c:dateAx>
      <c:valAx>
        <c:axId val="863275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272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4</xdr:row>
      <xdr:rowOff>0</xdr:rowOff>
    </xdr:from>
    <xdr:to>
      <xdr:col>29</xdr:col>
      <xdr:colOff>600075</xdr:colOff>
      <xdr:row>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C4962F-216D-EEDE-147F-4A789077D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0</xdr:colOff>
      <xdr:row>4</xdr:row>
      <xdr:rowOff>0</xdr:rowOff>
    </xdr:from>
    <xdr:to>
      <xdr:col>38</xdr:col>
      <xdr:colOff>590550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849229-407C-7B61-7AEF-D7A9C7F7EBDA}"/>
            </a:ext>
            <a:ext uri="{147F2762-F138-4A5C-976F-8EAC2B608ADB}">
              <a16:predDERef xmlns:a16="http://schemas.microsoft.com/office/drawing/2014/main" pred="{0DC4962F-216D-EEDE-147F-4A789077D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0</xdr:colOff>
      <xdr:row>4</xdr:row>
      <xdr:rowOff>9525</xdr:rowOff>
    </xdr:from>
    <xdr:to>
      <xdr:col>52</xdr:col>
      <xdr:colOff>581025</xdr:colOff>
      <xdr:row>23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C202FD-3F46-4CA8-4DDD-5B013A3ECFE8}"/>
            </a:ext>
            <a:ext uri="{147F2762-F138-4A5C-976F-8EAC2B608ADB}">
              <a16:predDERef xmlns:a16="http://schemas.microsoft.com/office/drawing/2014/main" pred="{95849229-407C-7B61-7AEF-D7A9C7F7E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3.641928819445" createdVersion="8" refreshedVersion="8" minRefreshableVersion="3" recordCount="148" xr:uid="{B5DC95F8-569B-4325-A5BC-7A6FCD6047EC}">
  <cacheSource type="worksheet">
    <worksheetSource ref="A1:J1048576" sheet="Sales_Data"/>
  </cacheSource>
  <cacheFields count="10">
    <cacheField name="Store" numFmtId="1">
      <sharedItems containsString="0" containsBlank="1" containsNumber="1" containsInteger="1" minValue="1" maxValue="1"/>
    </cacheField>
    <cacheField name="Dept" numFmtId="1">
      <sharedItems containsString="0" containsBlank="1" containsNumber="1" containsInteger="1" minValue="1" maxValue="1"/>
    </cacheField>
    <cacheField name="Date" numFmtId="14">
      <sharedItems containsNonDate="0" containsDate="1" containsString="0" containsBlank="1" minDate="2010-02-05T00:00:00" maxDate="2012-10-27T00:00:00"/>
    </cacheField>
    <cacheField name="Weekly_Sales" numFmtId="2">
      <sharedItems containsString="0" containsBlank="1" containsNumber="1" minValue="14537.37" maxValue="57592.12"/>
    </cacheField>
    <cacheField name="IsHoliday" numFmtId="49">
      <sharedItems containsBlank="1"/>
    </cacheField>
    <cacheField name="Year" numFmtId="0">
      <sharedItems containsString="0" containsBlank="1" containsNumber="1" containsInteger="1" minValue="2010" maxValue="2012"/>
    </cacheField>
    <cacheField name="Month" numFmtId="0">
      <sharedItems containsBlank="1"/>
    </cacheField>
    <cacheField name="Month_Year" numFmtId="0">
      <sharedItems containsBlank="1" count="34">
        <s v="2010-02"/>
        <s v="2010-03"/>
        <s v="2010-04"/>
        <s v="2010-05"/>
        <s v="2010-06"/>
        <s v="2010-07"/>
        <s v="2010-08"/>
        <s v="2010-09"/>
        <s v="2010-10"/>
        <s v="2010-11"/>
        <s v="2010-12"/>
        <s v="2011-01"/>
        <s v="2011-02"/>
        <s v="2011-03"/>
        <s v="2011-04"/>
        <s v="2011-05"/>
        <s v="2011-06"/>
        <s v="2011-07"/>
        <s v="2011-08"/>
        <s v="2011-09"/>
        <s v="2011-10"/>
        <s v="2011-11"/>
        <s v="2011-12"/>
        <s v="2012-01"/>
        <s v="2012-02"/>
        <s v="2012-03"/>
        <s v="2012-04"/>
        <s v="2012-05"/>
        <s v="2012-06"/>
        <s v="2012-07"/>
        <s v="2012-08"/>
        <s v="2012-09"/>
        <s v="2012-10"/>
        <m/>
      </sharedItems>
    </cacheField>
    <cacheField name="Week_No" numFmtId="0">
      <sharedItems containsString="0" containsBlank="1" containsNumber="1" containsInteger="1" minValue="1" maxValue="53"/>
    </cacheField>
    <cacheField name="Inventory_Level" numFmtId="0">
      <sharedItems containsString="0" containsBlank="1" containsNumber="1" minValue="29074.74" maxValue="115184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3.64933414352" createdVersion="8" refreshedVersion="8" minRefreshableVersion="3" recordCount="143" xr:uid="{82528241-05FE-4839-BD6B-FA345907FE17}">
  <cacheSource type="worksheet">
    <worksheetSource name="Table2"/>
  </cacheSource>
  <cacheFields count="10">
    <cacheField name="Store" numFmtId="1">
      <sharedItems containsSemiMixedTypes="0" containsString="0" containsNumber="1" containsInteger="1" minValue="1" maxValue="1"/>
    </cacheField>
    <cacheField name="Dept" numFmtId="1">
      <sharedItems containsSemiMixedTypes="0" containsString="0" containsNumber="1" containsInteger="1" minValue="1" maxValue="1"/>
    </cacheField>
    <cacheField name="Date" numFmtId="14">
      <sharedItems containsSemiMixedTypes="0" containsNonDate="0" containsDate="1" containsString="0" minDate="2010-02-05T00:00:00" maxDate="2012-10-27T00:00:00"/>
    </cacheField>
    <cacheField name="Weekly_Sales" numFmtId="2">
      <sharedItems containsSemiMixedTypes="0" containsString="0" containsNumber="1" minValue="14537.37" maxValue="57592.12"/>
    </cacheField>
    <cacheField name="IsHoliday" numFmtId="49">
      <sharedItems/>
    </cacheField>
    <cacheField name="Year" numFmtId="0">
      <sharedItems containsSemiMixedTypes="0" containsString="0" containsNumber="1" containsInteger="1" minValue="2010" maxValue="2012"/>
    </cacheField>
    <cacheField name="Month" numFmtId="0">
      <sharedItems count="12">
        <s v="Feb"/>
        <s v="Mar"/>
        <s v="Apr"/>
        <s v="May"/>
        <s v="Jun"/>
        <s v="Jul"/>
        <s v="Aug"/>
        <s v="Sep"/>
        <s v="Oct"/>
        <s v="Nov"/>
        <s v="Dec"/>
        <s v="Jan"/>
      </sharedItems>
    </cacheField>
    <cacheField name="Month_Year" numFmtId="0">
      <sharedItems/>
    </cacheField>
    <cacheField name="Week_No" numFmtId="0">
      <sharedItems containsSemiMixedTypes="0" containsString="0" containsNumber="1" containsInteger="1" minValue="1" maxValue="53"/>
    </cacheField>
    <cacheField name="Inventory_Level" numFmtId="0">
      <sharedItems containsSemiMixedTypes="0" containsString="0" containsNumber="1" minValue="29074.74" maxValue="115184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n v="1"/>
    <n v="1"/>
    <d v="2010-02-05T00:00:00"/>
    <n v="24924.5"/>
    <b v="0"/>
    <n v="2010"/>
    <s v="Feb"/>
    <x v="0"/>
    <n v="6"/>
    <n v="49849"/>
  </r>
  <r>
    <n v="1"/>
    <n v="1"/>
    <d v="2010-02-12T00:00:00"/>
    <n v="46039.49"/>
    <b v="1"/>
    <n v="2010"/>
    <s v="Feb"/>
    <x v="0"/>
    <n v="7"/>
    <n v="92078.98"/>
  </r>
  <r>
    <n v="1"/>
    <n v="1"/>
    <d v="2010-02-19T00:00:00"/>
    <n v="41595.550000000003"/>
    <b v="0"/>
    <n v="2010"/>
    <s v="Feb"/>
    <x v="0"/>
    <n v="8"/>
    <n v="83191.100000000006"/>
  </r>
  <r>
    <n v="1"/>
    <n v="1"/>
    <d v="2010-02-26T00:00:00"/>
    <n v="19403.54"/>
    <b v="0"/>
    <n v="2010"/>
    <s v="Feb"/>
    <x v="0"/>
    <n v="9"/>
    <n v="38807.08"/>
  </r>
  <r>
    <n v="1"/>
    <n v="1"/>
    <d v="2010-03-05T00:00:00"/>
    <n v="21827.9"/>
    <b v="0"/>
    <n v="2010"/>
    <s v="Mar"/>
    <x v="1"/>
    <n v="10"/>
    <n v="43655.8"/>
  </r>
  <r>
    <n v="1"/>
    <n v="1"/>
    <d v="2010-03-12T00:00:00"/>
    <n v="21043.39"/>
    <b v="0"/>
    <n v="2010"/>
    <s v="Mar"/>
    <x v="1"/>
    <n v="11"/>
    <n v="42086.78"/>
  </r>
  <r>
    <n v="1"/>
    <n v="1"/>
    <d v="2010-03-19T00:00:00"/>
    <n v="22136.639999999999"/>
    <b v="0"/>
    <n v="2010"/>
    <s v="Mar"/>
    <x v="1"/>
    <n v="12"/>
    <n v="44273.279999999999"/>
  </r>
  <r>
    <n v="1"/>
    <n v="1"/>
    <d v="2010-03-26T00:00:00"/>
    <n v="26229.21"/>
    <b v="0"/>
    <n v="2010"/>
    <s v="Mar"/>
    <x v="1"/>
    <n v="13"/>
    <n v="52458.42"/>
  </r>
  <r>
    <n v="1"/>
    <n v="1"/>
    <d v="2010-04-02T00:00:00"/>
    <n v="57258.43"/>
    <b v="0"/>
    <n v="2010"/>
    <s v="Apr"/>
    <x v="2"/>
    <n v="14"/>
    <n v="114516.86"/>
  </r>
  <r>
    <n v="1"/>
    <n v="1"/>
    <d v="2010-04-09T00:00:00"/>
    <n v="42960.91"/>
    <b v="0"/>
    <n v="2010"/>
    <s v="Apr"/>
    <x v="2"/>
    <n v="15"/>
    <n v="85921.82"/>
  </r>
  <r>
    <n v="1"/>
    <n v="1"/>
    <d v="2010-04-16T00:00:00"/>
    <n v="17596.96"/>
    <b v="0"/>
    <n v="2010"/>
    <s v="Apr"/>
    <x v="2"/>
    <n v="16"/>
    <n v="35193.919999999998"/>
  </r>
  <r>
    <n v="1"/>
    <n v="1"/>
    <d v="2010-04-23T00:00:00"/>
    <n v="16145.35"/>
    <b v="0"/>
    <n v="2010"/>
    <s v="Apr"/>
    <x v="2"/>
    <n v="17"/>
    <n v="32290.7"/>
  </r>
  <r>
    <n v="1"/>
    <n v="1"/>
    <d v="2010-04-30T00:00:00"/>
    <n v="16555.11"/>
    <b v="0"/>
    <n v="2010"/>
    <s v="Apr"/>
    <x v="2"/>
    <n v="18"/>
    <n v="33110.22"/>
  </r>
  <r>
    <n v="1"/>
    <n v="1"/>
    <d v="2010-05-07T00:00:00"/>
    <n v="17413.939999999999"/>
    <b v="0"/>
    <n v="2010"/>
    <s v="May"/>
    <x v="3"/>
    <n v="19"/>
    <n v="34827.879999999997"/>
  </r>
  <r>
    <n v="1"/>
    <n v="1"/>
    <d v="2010-05-14T00:00:00"/>
    <n v="18926.740000000002"/>
    <b v="0"/>
    <n v="2010"/>
    <s v="May"/>
    <x v="3"/>
    <n v="20"/>
    <n v="37853.480000000003"/>
  </r>
  <r>
    <n v="1"/>
    <n v="1"/>
    <d v="2010-05-21T00:00:00"/>
    <n v="14773.04"/>
    <b v="0"/>
    <n v="2010"/>
    <s v="May"/>
    <x v="3"/>
    <n v="21"/>
    <n v="29546.080000000002"/>
  </r>
  <r>
    <n v="1"/>
    <n v="1"/>
    <d v="2010-05-28T00:00:00"/>
    <n v="15580.43"/>
    <b v="0"/>
    <n v="2010"/>
    <s v="May"/>
    <x v="3"/>
    <n v="22"/>
    <n v="31160.86"/>
  </r>
  <r>
    <n v="1"/>
    <n v="1"/>
    <d v="2010-06-04T00:00:00"/>
    <n v="17558.09"/>
    <b v="0"/>
    <n v="2010"/>
    <s v="Jun"/>
    <x v="4"/>
    <n v="23"/>
    <n v="35116.18"/>
  </r>
  <r>
    <n v="1"/>
    <n v="1"/>
    <d v="2010-06-11T00:00:00"/>
    <n v="16637.62"/>
    <b v="0"/>
    <n v="2010"/>
    <s v="Jun"/>
    <x v="4"/>
    <n v="24"/>
    <n v="33275.24"/>
  </r>
  <r>
    <n v="1"/>
    <n v="1"/>
    <d v="2010-06-18T00:00:00"/>
    <n v="16216.27"/>
    <b v="0"/>
    <n v="2010"/>
    <s v="Jun"/>
    <x v="4"/>
    <n v="25"/>
    <n v="32432.54"/>
  </r>
  <r>
    <n v="1"/>
    <n v="1"/>
    <d v="2010-06-25T00:00:00"/>
    <n v="16328.72"/>
    <b v="0"/>
    <n v="2010"/>
    <s v="Jun"/>
    <x v="4"/>
    <n v="26"/>
    <n v="32657.439999999999"/>
  </r>
  <r>
    <n v="1"/>
    <n v="1"/>
    <d v="2010-07-02T00:00:00"/>
    <n v="16333.14"/>
    <b v="0"/>
    <n v="2010"/>
    <s v="Jul"/>
    <x v="5"/>
    <n v="27"/>
    <n v="32666.28"/>
  </r>
  <r>
    <n v="1"/>
    <n v="1"/>
    <d v="2010-07-09T00:00:00"/>
    <n v="17688.759999999998"/>
    <b v="0"/>
    <n v="2010"/>
    <s v="Jul"/>
    <x v="5"/>
    <n v="28"/>
    <n v="35377.519999999997"/>
  </r>
  <r>
    <n v="1"/>
    <n v="1"/>
    <d v="2010-07-16T00:00:00"/>
    <n v="17150.84"/>
    <b v="0"/>
    <n v="2010"/>
    <s v="Jul"/>
    <x v="5"/>
    <n v="29"/>
    <n v="34301.68"/>
  </r>
  <r>
    <n v="1"/>
    <n v="1"/>
    <d v="2010-07-23T00:00:00"/>
    <n v="15360.45"/>
    <b v="0"/>
    <n v="2010"/>
    <s v="Jul"/>
    <x v="5"/>
    <n v="30"/>
    <n v="30720.9"/>
  </r>
  <r>
    <n v="1"/>
    <n v="1"/>
    <d v="2010-07-30T00:00:00"/>
    <n v="15381.82"/>
    <b v="0"/>
    <n v="2010"/>
    <s v="Jul"/>
    <x v="5"/>
    <n v="31"/>
    <n v="30763.64"/>
  </r>
  <r>
    <n v="1"/>
    <n v="1"/>
    <d v="2010-08-06T00:00:00"/>
    <n v="17508.41"/>
    <b v="0"/>
    <n v="2010"/>
    <s v="Aug"/>
    <x v="6"/>
    <n v="32"/>
    <n v="35016.82"/>
  </r>
  <r>
    <n v="1"/>
    <n v="1"/>
    <d v="2010-08-13T00:00:00"/>
    <n v="15536.4"/>
    <b v="0"/>
    <n v="2010"/>
    <s v="Aug"/>
    <x v="6"/>
    <n v="33"/>
    <n v="31072.799999999999"/>
  </r>
  <r>
    <n v="1"/>
    <n v="1"/>
    <d v="2010-08-20T00:00:00"/>
    <n v="15740.13"/>
    <b v="0"/>
    <n v="2010"/>
    <s v="Aug"/>
    <x v="6"/>
    <n v="34"/>
    <n v="31480.26"/>
  </r>
  <r>
    <n v="1"/>
    <n v="1"/>
    <d v="2010-08-27T00:00:00"/>
    <n v="15793.87"/>
    <b v="0"/>
    <n v="2010"/>
    <s v="Aug"/>
    <x v="6"/>
    <n v="35"/>
    <n v="31587.74"/>
  </r>
  <r>
    <n v="1"/>
    <n v="1"/>
    <d v="2010-09-03T00:00:00"/>
    <n v="16241.78"/>
    <b v="0"/>
    <n v="2010"/>
    <s v="Sep"/>
    <x v="7"/>
    <n v="36"/>
    <n v="32483.56"/>
  </r>
  <r>
    <n v="1"/>
    <n v="1"/>
    <d v="2010-09-10T00:00:00"/>
    <n v="18194.740000000002"/>
    <b v="1"/>
    <n v="2010"/>
    <s v="Sep"/>
    <x v="7"/>
    <n v="37"/>
    <n v="36389.480000000003"/>
  </r>
  <r>
    <n v="1"/>
    <n v="1"/>
    <d v="2010-09-17T00:00:00"/>
    <n v="19354.23"/>
    <b v="0"/>
    <n v="2010"/>
    <s v="Sep"/>
    <x v="7"/>
    <n v="38"/>
    <n v="38708.46"/>
  </r>
  <r>
    <n v="1"/>
    <n v="1"/>
    <d v="2010-09-24T00:00:00"/>
    <n v="18122.52"/>
    <b v="0"/>
    <n v="2010"/>
    <s v="Sep"/>
    <x v="7"/>
    <n v="39"/>
    <n v="36245.040000000001"/>
  </r>
  <r>
    <n v="1"/>
    <n v="1"/>
    <d v="2010-10-01T00:00:00"/>
    <n v="20094.189999999999"/>
    <b v="0"/>
    <n v="2010"/>
    <s v="Oct"/>
    <x v="8"/>
    <n v="40"/>
    <n v="40188.379999999997"/>
  </r>
  <r>
    <n v="1"/>
    <n v="1"/>
    <d v="2010-10-08T00:00:00"/>
    <n v="23388.03"/>
    <b v="0"/>
    <n v="2010"/>
    <s v="Oct"/>
    <x v="8"/>
    <n v="41"/>
    <n v="46776.06"/>
  </r>
  <r>
    <n v="1"/>
    <n v="1"/>
    <d v="2010-10-15T00:00:00"/>
    <n v="26978.34"/>
    <b v="0"/>
    <n v="2010"/>
    <s v="Oct"/>
    <x v="8"/>
    <n v="42"/>
    <n v="53956.68"/>
  </r>
  <r>
    <n v="1"/>
    <n v="1"/>
    <d v="2010-10-22T00:00:00"/>
    <n v="25543.040000000001"/>
    <b v="0"/>
    <n v="2010"/>
    <s v="Oct"/>
    <x v="8"/>
    <n v="43"/>
    <n v="51086.080000000002"/>
  </r>
  <r>
    <n v="1"/>
    <n v="1"/>
    <d v="2010-10-29T00:00:00"/>
    <n v="38640.93"/>
    <b v="0"/>
    <n v="2010"/>
    <s v="Oct"/>
    <x v="8"/>
    <n v="44"/>
    <n v="77281.86"/>
  </r>
  <r>
    <n v="1"/>
    <n v="1"/>
    <d v="2010-11-05T00:00:00"/>
    <n v="34238.879999999997"/>
    <b v="0"/>
    <n v="2010"/>
    <s v="Nov"/>
    <x v="9"/>
    <n v="45"/>
    <n v="68477.759999999995"/>
  </r>
  <r>
    <n v="1"/>
    <n v="1"/>
    <d v="2010-11-12T00:00:00"/>
    <n v="19549.39"/>
    <b v="0"/>
    <n v="2010"/>
    <s v="Nov"/>
    <x v="9"/>
    <n v="46"/>
    <n v="39098.78"/>
  </r>
  <r>
    <n v="1"/>
    <n v="1"/>
    <d v="2010-11-19T00:00:00"/>
    <n v="19552.84"/>
    <b v="0"/>
    <n v="2010"/>
    <s v="Nov"/>
    <x v="9"/>
    <n v="47"/>
    <n v="39105.68"/>
  </r>
  <r>
    <n v="1"/>
    <n v="1"/>
    <d v="2010-11-26T00:00:00"/>
    <n v="18820.29"/>
    <b v="1"/>
    <n v="2010"/>
    <s v="Nov"/>
    <x v="9"/>
    <n v="48"/>
    <n v="37640.58"/>
  </r>
  <r>
    <n v="1"/>
    <n v="1"/>
    <d v="2010-12-03T00:00:00"/>
    <n v="22517.56"/>
    <b v="0"/>
    <n v="2010"/>
    <s v="Dec"/>
    <x v="10"/>
    <n v="49"/>
    <n v="45035.12"/>
  </r>
  <r>
    <n v="1"/>
    <n v="1"/>
    <d v="2010-12-10T00:00:00"/>
    <n v="31497.65"/>
    <b v="0"/>
    <n v="2010"/>
    <s v="Dec"/>
    <x v="10"/>
    <n v="50"/>
    <n v="62995.3"/>
  </r>
  <r>
    <n v="1"/>
    <n v="1"/>
    <d v="2010-12-17T00:00:00"/>
    <n v="44912.86"/>
    <b v="0"/>
    <n v="2010"/>
    <s v="Dec"/>
    <x v="10"/>
    <n v="51"/>
    <n v="89825.72"/>
  </r>
  <r>
    <n v="1"/>
    <n v="1"/>
    <d v="2010-12-24T00:00:00"/>
    <n v="55931.23"/>
    <b v="0"/>
    <n v="2010"/>
    <s v="Dec"/>
    <x v="10"/>
    <n v="52"/>
    <n v="111862.46"/>
  </r>
  <r>
    <n v="1"/>
    <n v="1"/>
    <d v="2010-12-31T00:00:00"/>
    <n v="19124.580000000002"/>
    <b v="1"/>
    <n v="2010"/>
    <s v="Dec"/>
    <x v="10"/>
    <n v="53"/>
    <n v="38249.160000000003"/>
  </r>
  <r>
    <n v="1"/>
    <n v="1"/>
    <d v="2011-01-07T00:00:00"/>
    <n v="15984.24"/>
    <b v="0"/>
    <n v="2011"/>
    <s v="Jan"/>
    <x v="11"/>
    <n v="2"/>
    <n v="31968.48"/>
  </r>
  <r>
    <n v="1"/>
    <n v="1"/>
    <d v="2011-01-14T00:00:00"/>
    <n v="17359.7"/>
    <b v="0"/>
    <n v="2011"/>
    <s v="Jan"/>
    <x v="11"/>
    <n v="3"/>
    <n v="34719.4"/>
  </r>
  <r>
    <n v="1"/>
    <n v="1"/>
    <d v="2011-01-21T00:00:00"/>
    <n v="17341.47"/>
    <b v="0"/>
    <n v="2011"/>
    <s v="Jan"/>
    <x v="11"/>
    <n v="4"/>
    <n v="34682.94"/>
  </r>
  <r>
    <n v="1"/>
    <n v="1"/>
    <d v="2011-01-28T00:00:00"/>
    <n v="18461.18"/>
    <b v="0"/>
    <n v="2011"/>
    <s v="Jan"/>
    <x v="11"/>
    <n v="5"/>
    <n v="36922.36"/>
  </r>
  <r>
    <n v="1"/>
    <n v="1"/>
    <d v="2011-02-04T00:00:00"/>
    <n v="21665.759999999998"/>
    <b v="0"/>
    <n v="2011"/>
    <s v="Feb"/>
    <x v="12"/>
    <n v="6"/>
    <n v="43331.519999999997"/>
  </r>
  <r>
    <n v="1"/>
    <n v="1"/>
    <d v="2011-02-11T00:00:00"/>
    <n v="37887.17"/>
    <b v="1"/>
    <n v="2011"/>
    <s v="Feb"/>
    <x v="12"/>
    <n v="7"/>
    <n v="75774.34"/>
  </r>
  <r>
    <n v="1"/>
    <n v="1"/>
    <d v="2011-02-18T00:00:00"/>
    <n v="46845.87"/>
    <b v="0"/>
    <n v="2011"/>
    <s v="Feb"/>
    <x v="12"/>
    <n v="8"/>
    <n v="93691.74"/>
  </r>
  <r>
    <n v="1"/>
    <n v="1"/>
    <d v="2011-02-25T00:00:00"/>
    <n v="19363.830000000002"/>
    <b v="0"/>
    <n v="2011"/>
    <s v="Feb"/>
    <x v="12"/>
    <n v="9"/>
    <n v="38727.660000000003"/>
  </r>
  <r>
    <n v="1"/>
    <n v="1"/>
    <d v="2011-03-04T00:00:00"/>
    <n v="20327.61"/>
    <b v="0"/>
    <n v="2011"/>
    <s v="Mar"/>
    <x v="13"/>
    <n v="10"/>
    <n v="40655.22"/>
  </r>
  <r>
    <n v="1"/>
    <n v="1"/>
    <d v="2011-03-11T00:00:00"/>
    <n v="21280.400000000001"/>
    <b v="0"/>
    <n v="2011"/>
    <s v="Mar"/>
    <x v="13"/>
    <n v="11"/>
    <n v="42560.800000000003"/>
  </r>
  <r>
    <n v="1"/>
    <n v="1"/>
    <d v="2011-03-18T00:00:00"/>
    <n v="20334.23"/>
    <b v="0"/>
    <n v="2011"/>
    <s v="Mar"/>
    <x v="13"/>
    <n v="12"/>
    <n v="40668.46"/>
  </r>
  <r>
    <n v="1"/>
    <n v="1"/>
    <d v="2011-03-25T00:00:00"/>
    <n v="20881.099999999999"/>
    <b v="0"/>
    <n v="2011"/>
    <s v="Mar"/>
    <x v="13"/>
    <n v="13"/>
    <n v="41762.199999999997"/>
  </r>
  <r>
    <n v="1"/>
    <n v="1"/>
    <d v="2011-04-01T00:00:00"/>
    <n v="20398.09"/>
    <b v="0"/>
    <n v="2011"/>
    <s v="Apr"/>
    <x v="14"/>
    <n v="14"/>
    <n v="40796.18"/>
  </r>
  <r>
    <n v="1"/>
    <n v="1"/>
    <d v="2011-04-08T00:00:00"/>
    <n v="23873.79"/>
    <b v="0"/>
    <n v="2011"/>
    <s v="Apr"/>
    <x v="14"/>
    <n v="15"/>
    <n v="47747.58"/>
  </r>
  <r>
    <n v="1"/>
    <n v="1"/>
    <d v="2011-04-15T00:00:00"/>
    <n v="28762.37"/>
    <b v="0"/>
    <n v="2011"/>
    <s v="Apr"/>
    <x v="14"/>
    <n v="16"/>
    <n v="57524.74"/>
  </r>
  <r>
    <n v="1"/>
    <n v="1"/>
    <d v="2011-04-22T00:00:00"/>
    <n v="50510.31"/>
    <b v="0"/>
    <n v="2011"/>
    <s v="Apr"/>
    <x v="14"/>
    <n v="17"/>
    <n v="101020.62"/>
  </r>
  <r>
    <n v="1"/>
    <n v="1"/>
    <d v="2011-04-29T00:00:00"/>
    <n v="41512.39"/>
    <b v="0"/>
    <n v="2011"/>
    <s v="Apr"/>
    <x v="14"/>
    <n v="18"/>
    <n v="83024.78"/>
  </r>
  <r>
    <n v="1"/>
    <n v="1"/>
    <d v="2011-05-06T00:00:00"/>
    <n v="20138.189999999999"/>
    <b v="0"/>
    <n v="2011"/>
    <s v="May"/>
    <x v="15"/>
    <n v="19"/>
    <n v="40276.379999999997"/>
  </r>
  <r>
    <n v="1"/>
    <n v="1"/>
    <d v="2011-05-13T00:00:00"/>
    <n v="17235.150000000001"/>
    <b v="0"/>
    <n v="2011"/>
    <s v="May"/>
    <x v="15"/>
    <n v="20"/>
    <n v="34470.300000000003"/>
  </r>
  <r>
    <n v="1"/>
    <n v="1"/>
    <d v="2011-05-20T00:00:00"/>
    <n v="15136.78"/>
    <b v="0"/>
    <n v="2011"/>
    <s v="May"/>
    <x v="15"/>
    <n v="21"/>
    <n v="30273.56"/>
  </r>
  <r>
    <n v="1"/>
    <n v="1"/>
    <d v="2011-05-27T00:00:00"/>
    <n v="15741.6"/>
    <b v="0"/>
    <n v="2011"/>
    <s v="May"/>
    <x v="15"/>
    <n v="22"/>
    <n v="31483.200000000001"/>
  </r>
  <r>
    <n v="1"/>
    <n v="1"/>
    <d v="2011-06-03T00:00:00"/>
    <n v="16434.150000000001"/>
    <b v="0"/>
    <n v="2011"/>
    <s v="Jun"/>
    <x v="16"/>
    <n v="23"/>
    <n v="32868.300000000003"/>
  </r>
  <r>
    <n v="1"/>
    <n v="1"/>
    <d v="2011-06-10T00:00:00"/>
    <n v="15883.52"/>
    <b v="0"/>
    <n v="2011"/>
    <s v="Jun"/>
    <x v="16"/>
    <n v="24"/>
    <n v="31767.040000000001"/>
  </r>
  <r>
    <n v="1"/>
    <n v="1"/>
    <d v="2011-06-17T00:00:00"/>
    <n v="14978.09"/>
    <b v="0"/>
    <n v="2011"/>
    <s v="Jun"/>
    <x v="16"/>
    <n v="25"/>
    <n v="29956.18"/>
  </r>
  <r>
    <n v="1"/>
    <n v="1"/>
    <d v="2011-06-24T00:00:00"/>
    <n v="15682.81"/>
    <b v="0"/>
    <n v="2011"/>
    <s v="Jun"/>
    <x v="16"/>
    <n v="26"/>
    <n v="31365.62"/>
  </r>
  <r>
    <n v="1"/>
    <n v="1"/>
    <d v="2011-07-01T00:00:00"/>
    <n v="15363.5"/>
    <b v="0"/>
    <n v="2011"/>
    <s v="Jul"/>
    <x v="17"/>
    <n v="27"/>
    <n v="30727"/>
  </r>
  <r>
    <n v="1"/>
    <n v="1"/>
    <d v="2011-07-08T00:00:00"/>
    <n v="16148.87"/>
    <b v="0"/>
    <n v="2011"/>
    <s v="Jul"/>
    <x v="17"/>
    <n v="28"/>
    <n v="32297.74"/>
  </r>
  <r>
    <n v="1"/>
    <n v="1"/>
    <d v="2011-07-15T00:00:00"/>
    <n v="15654.85"/>
    <b v="0"/>
    <n v="2011"/>
    <s v="Jul"/>
    <x v="17"/>
    <n v="29"/>
    <n v="31309.7"/>
  </r>
  <r>
    <n v="1"/>
    <n v="1"/>
    <d v="2011-07-22T00:00:00"/>
    <n v="15766.6"/>
    <b v="0"/>
    <n v="2011"/>
    <s v="Jul"/>
    <x v="17"/>
    <n v="30"/>
    <n v="31533.200000000001"/>
  </r>
  <r>
    <n v="1"/>
    <n v="1"/>
    <d v="2011-07-29T00:00:00"/>
    <n v="15922.41"/>
    <b v="0"/>
    <n v="2011"/>
    <s v="Jul"/>
    <x v="17"/>
    <n v="31"/>
    <n v="31844.82"/>
  </r>
  <r>
    <n v="1"/>
    <n v="1"/>
    <d v="2011-08-05T00:00:00"/>
    <n v="15295.55"/>
    <b v="0"/>
    <n v="2011"/>
    <s v="Aug"/>
    <x v="18"/>
    <n v="32"/>
    <n v="30591.1"/>
  </r>
  <r>
    <n v="1"/>
    <n v="1"/>
    <d v="2011-08-12T00:00:00"/>
    <n v="14539.79"/>
    <b v="0"/>
    <n v="2011"/>
    <s v="Aug"/>
    <x v="18"/>
    <n v="33"/>
    <n v="29079.58"/>
  </r>
  <r>
    <n v="1"/>
    <n v="1"/>
    <d v="2011-08-19T00:00:00"/>
    <n v="14689.24"/>
    <b v="0"/>
    <n v="2011"/>
    <s v="Aug"/>
    <x v="18"/>
    <n v="34"/>
    <n v="29378.48"/>
  </r>
  <r>
    <n v="1"/>
    <n v="1"/>
    <d v="2011-08-26T00:00:00"/>
    <n v="14537.37"/>
    <b v="0"/>
    <n v="2011"/>
    <s v="Aug"/>
    <x v="18"/>
    <n v="35"/>
    <n v="29074.74"/>
  </r>
  <r>
    <n v="1"/>
    <n v="1"/>
    <d v="2011-09-02T00:00:00"/>
    <n v="15277.27"/>
    <b v="0"/>
    <n v="2011"/>
    <s v="Sep"/>
    <x v="19"/>
    <n v="36"/>
    <n v="30554.54"/>
  </r>
  <r>
    <n v="1"/>
    <n v="1"/>
    <d v="2011-09-09T00:00:00"/>
    <n v="17746.68"/>
    <b v="1"/>
    <n v="2011"/>
    <s v="Sep"/>
    <x v="19"/>
    <n v="37"/>
    <n v="35493.360000000001"/>
  </r>
  <r>
    <n v="1"/>
    <n v="1"/>
    <d v="2011-09-16T00:00:00"/>
    <n v="18535.48"/>
    <b v="0"/>
    <n v="2011"/>
    <s v="Sep"/>
    <x v="19"/>
    <n v="38"/>
    <n v="37070.959999999999"/>
  </r>
  <r>
    <n v="1"/>
    <n v="1"/>
    <d v="2011-09-23T00:00:00"/>
    <n v="17859.3"/>
    <b v="0"/>
    <n v="2011"/>
    <s v="Sep"/>
    <x v="19"/>
    <n v="39"/>
    <n v="35718.6"/>
  </r>
  <r>
    <n v="1"/>
    <n v="1"/>
    <d v="2011-09-30T00:00:00"/>
    <n v="18337.68"/>
    <b v="0"/>
    <n v="2011"/>
    <s v="Sep"/>
    <x v="19"/>
    <n v="40"/>
    <n v="36675.360000000001"/>
  </r>
  <r>
    <n v="1"/>
    <n v="1"/>
    <d v="2011-10-07T00:00:00"/>
    <n v="20797.580000000002"/>
    <b v="0"/>
    <n v="2011"/>
    <s v="Oct"/>
    <x v="20"/>
    <n v="41"/>
    <n v="41595.160000000003"/>
  </r>
  <r>
    <n v="1"/>
    <n v="1"/>
    <d v="2011-10-14T00:00:00"/>
    <n v="23077.55"/>
    <b v="0"/>
    <n v="2011"/>
    <s v="Oct"/>
    <x v="20"/>
    <n v="42"/>
    <n v="46155.1"/>
  </r>
  <r>
    <n v="1"/>
    <n v="1"/>
    <d v="2011-10-21T00:00:00"/>
    <n v="23351.8"/>
    <b v="0"/>
    <n v="2011"/>
    <s v="Oct"/>
    <x v="20"/>
    <n v="43"/>
    <n v="46703.6"/>
  </r>
  <r>
    <n v="1"/>
    <n v="1"/>
    <d v="2011-10-28T00:00:00"/>
    <n v="31579.9"/>
    <b v="0"/>
    <n v="2011"/>
    <s v="Oct"/>
    <x v="20"/>
    <n v="44"/>
    <n v="63159.8"/>
  </r>
  <r>
    <n v="1"/>
    <n v="1"/>
    <d v="2011-11-04T00:00:00"/>
    <n v="39886.06"/>
    <b v="0"/>
    <n v="2011"/>
    <s v="Nov"/>
    <x v="21"/>
    <n v="45"/>
    <n v="79772.12"/>
  </r>
  <r>
    <n v="1"/>
    <n v="1"/>
    <d v="2011-11-11T00:00:00"/>
    <n v="18689.54"/>
    <b v="0"/>
    <n v="2011"/>
    <s v="Nov"/>
    <x v="21"/>
    <n v="46"/>
    <n v="37379.08"/>
  </r>
  <r>
    <n v="1"/>
    <n v="1"/>
    <d v="2011-11-18T00:00:00"/>
    <n v="19050.66"/>
    <b v="0"/>
    <n v="2011"/>
    <s v="Nov"/>
    <x v="21"/>
    <n v="47"/>
    <n v="38101.32"/>
  </r>
  <r>
    <n v="1"/>
    <n v="1"/>
    <d v="2011-11-25T00:00:00"/>
    <n v="20911.25"/>
    <b v="1"/>
    <n v="2011"/>
    <s v="Nov"/>
    <x v="21"/>
    <n v="48"/>
    <n v="41822.5"/>
  </r>
  <r>
    <n v="1"/>
    <n v="1"/>
    <d v="2011-12-02T00:00:00"/>
    <n v="25293.49"/>
    <b v="0"/>
    <n v="2011"/>
    <s v="Dec"/>
    <x v="22"/>
    <n v="49"/>
    <n v="50586.98"/>
  </r>
  <r>
    <n v="1"/>
    <n v="1"/>
    <d v="2011-12-09T00:00:00"/>
    <n v="33305.919999999998"/>
    <b v="0"/>
    <n v="2011"/>
    <s v="Dec"/>
    <x v="22"/>
    <n v="50"/>
    <n v="66611.839999999997"/>
  </r>
  <r>
    <n v="1"/>
    <n v="1"/>
    <d v="2011-12-16T00:00:00"/>
    <n v="45773.03"/>
    <b v="0"/>
    <n v="2011"/>
    <s v="Dec"/>
    <x v="22"/>
    <n v="51"/>
    <n v="91546.06"/>
  </r>
  <r>
    <n v="1"/>
    <n v="1"/>
    <d v="2011-12-23T00:00:00"/>
    <n v="46788.75"/>
    <b v="0"/>
    <n v="2011"/>
    <s v="Dec"/>
    <x v="22"/>
    <n v="52"/>
    <n v="93577.5"/>
  </r>
  <r>
    <n v="1"/>
    <n v="1"/>
    <d v="2011-12-30T00:00:00"/>
    <n v="23350.880000000001"/>
    <b v="1"/>
    <n v="2011"/>
    <s v="Dec"/>
    <x v="22"/>
    <n v="53"/>
    <n v="46701.760000000002"/>
  </r>
  <r>
    <n v="1"/>
    <n v="1"/>
    <d v="2012-01-06T00:00:00"/>
    <n v="16567.689999999999"/>
    <b v="0"/>
    <n v="2012"/>
    <s v="Jan"/>
    <x v="23"/>
    <n v="1"/>
    <n v="33135.379999999997"/>
  </r>
  <r>
    <n v="1"/>
    <n v="1"/>
    <d v="2012-01-13T00:00:00"/>
    <n v="16894.400000000001"/>
    <b v="0"/>
    <n v="2012"/>
    <s v="Jan"/>
    <x v="23"/>
    <n v="2"/>
    <n v="33788.800000000003"/>
  </r>
  <r>
    <n v="1"/>
    <n v="1"/>
    <d v="2012-01-20T00:00:00"/>
    <n v="18365.099999999999"/>
    <b v="0"/>
    <n v="2012"/>
    <s v="Jan"/>
    <x v="23"/>
    <n v="3"/>
    <n v="36730.199999999997"/>
  </r>
  <r>
    <n v="1"/>
    <n v="1"/>
    <d v="2012-01-27T00:00:00"/>
    <n v="18378.16"/>
    <b v="0"/>
    <n v="2012"/>
    <s v="Jan"/>
    <x v="23"/>
    <n v="4"/>
    <n v="36756.32"/>
  </r>
  <r>
    <n v="1"/>
    <n v="1"/>
    <d v="2012-02-03T00:00:00"/>
    <n v="23510.49"/>
    <b v="0"/>
    <n v="2012"/>
    <s v="Feb"/>
    <x v="24"/>
    <n v="5"/>
    <n v="47020.98"/>
  </r>
  <r>
    <n v="1"/>
    <n v="1"/>
    <d v="2012-02-10T00:00:00"/>
    <n v="36988.49"/>
    <b v="1"/>
    <n v="2012"/>
    <s v="Feb"/>
    <x v="24"/>
    <n v="6"/>
    <n v="73976.98"/>
  </r>
  <r>
    <n v="1"/>
    <n v="1"/>
    <d v="2012-02-17T00:00:00"/>
    <n v="54060.1"/>
    <b v="0"/>
    <n v="2012"/>
    <s v="Feb"/>
    <x v="24"/>
    <n v="7"/>
    <n v="108120.2"/>
  </r>
  <r>
    <n v="1"/>
    <n v="1"/>
    <d v="2012-02-24T00:00:00"/>
    <n v="20124.22"/>
    <b v="0"/>
    <n v="2012"/>
    <s v="Feb"/>
    <x v="24"/>
    <n v="8"/>
    <n v="40248.44"/>
  </r>
  <r>
    <n v="1"/>
    <n v="1"/>
    <d v="2012-03-02T00:00:00"/>
    <n v="20113.03"/>
    <b v="0"/>
    <n v="2012"/>
    <s v="Mar"/>
    <x v="25"/>
    <n v="9"/>
    <n v="40226.06"/>
  </r>
  <r>
    <n v="1"/>
    <n v="1"/>
    <d v="2012-03-09T00:00:00"/>
    <n v="21140.07"/>
    <b v="0"/>
    <n v="2012"/>
    <s v="Mar"/>
    <x v="25"/>
    <n v="10"/>
    <n v="42280.14"/>
  </r>
  <r>
    <n v="1"/>
    <n v="1"/>
    <d v="2012-03-16T00:00:00"/>
    <n v="22366.880000000001"/>
    <b v="0"/>
    <n v="2012"/>
    <s v="Mar"/>
    <x v="25"/>
    <n v="11"/>
    <n v="44733.760000000002"/>
  </r>
  <r>
    <n v="1"/>
    <n v="1"/>
    <d v="2012-03-23T00:00:00"/>
    <n v="22107.7"/>
    <b v="0"/>
    <n v="2012"/>
    <s v="Mar"/>
    <x v="25"/>
    <n v="12"/>
    <n v="44215.4"/>
  </r>
  <r>
    <n v="1"/>
    <n v="1"/>
    <d v="2012-03-30T00:00:00"/>
    <n v="28952.86"/>
    <b v="0"/>
    <n v="2012"/>
    <s v="Mar"/>
    <x v="25"/>
    <n v="13"/>
    <n v="57905.72"/>
  </r>
  <r>
    <n v="1"/>
    <n v="1"/>
    <d v="2012-04-06T00:00:00"/>
    <n v="57592.12"/>
    <b v="0"/>
    <n v="2012"/>
    <s v="Apr"/>
    <x v="26"/>
    <n v="14"/>
    <n v="115184.24"/>
  </r>
  <r>
    <n v="1"/>
    <n v="1"/>
    <d v="2012-04-13T00:00:00"/>
    <n v="34684.21"/>
    <b v="0"/>
    <n v="2012"/>
    <s v="Apr"/>
    <x v="26"/>
    <n v="15"/>
    <n v="69368.42"/>
  </r>
  <r>
    <n v="1"/>
    <n v="1"/>
    <d v="2012-04-20T00:00:00"/>
    <n v="16976.189999999999"/>
    <b v="0"/>
    <n v="2012"/>
    <s v="Apr"/>
    <x v="26"/>
    <n v="16"/>
    <n v="33952.379999999997"/>
  </r>
  <r>
    <n v="1"/>
    <n v="1"/>
    <d v="2012-04-27T00:00:00"/>
    <n v="16347.6"/>
    <b v="0"/>
    <n v="2012"/>
    <s v="Apr"/>
    <x v="26"/>
    <n v="17"/>
    <n v="32695.200000000001"/>
  </r>
  <r>
    <n v="1"/>
    <n v="1"/>
    <d v="2012-05-04T00:00:00"/>
    <n v="17147.439999999999"/>
    <b v="0"/>
    <n v="2012"/>
    <s v="May"/>
    <x v="27"/>
    <n v="18"/>
    <n v="34294.879999999997"/>
  </r>
  <r>
    <n v="1"/>
    <n v="1"/>
    <d v="2012-05-11T00:00:00"/>
    <n v="18164.2"/>
    <b v="0"/>
    <n v="2012"/>
    <s v="May"/>
    <x v="27"/>
    <n v="19"/>
    <n v="36328.400000000001"/>
  </r>
  <r>
    <n v="1"/>
    <n v="1"/>
    <d v="2012-05-18T00:00:00"/>
    <n v="18517.79"/>
    <b v="0"/>
    <n v="2012"/>
    <s v="May"/>
    <x v="27"/>
    <n v="20"/>
    <n v="37035.58"/>
  </r>
  <r>
    <n v="1"/>
    <n v="1"/>
    <d v="2012-05-25T00:00:00"/>
    <n v="16963.55"/>
    <b v="0"/>
    <n v="2012"/>
    <s v="May"/>
    <x v="27"/>
    <n v="21"/>
    <n v="33927.1"/>
  </r>
  <r>
    <n v="1"/>
    <n v="1"/>
    <d v="2012-06-01T00:00:00"/>
    <n v="16065.49"/>
    <b v="0"/>
    <n v="2012"/>
    <s v="Jun"/>
    <x v="28"/>
    <n v="22"/>
    <n v="32130.98"/>
  </r>
  <r>
    <n v="1"/>
    <n v="1"/>
    <d v="2012-06-08T00:00:00"/>
    <n v="17666"/>
    <b v="0"/>
    <n v="2012"/>
    <s v="Jun"/>
    <x v="28"/>
    <n v="23"/>
    <n v="35332"/>
  </r>
  <r>
    <n v="1"/>
    <n v="1"/>
    <d v="2012-06-15T00:00:00"/>
    <n v="17558.82"/>
    <b v="0"/>
    <n v="2012"/>
    <s v="Jun"/>
    <x v="28"/>
    <n v="24"/>
    <n v="35117.64"/>
  </r>
  <r>
    <n v="1"/>
    <n v="1"/>
    <d v="2012-06-22T00:00:00"/>
    <n v="16633.41"/>
    <b v="0"/>
    <n v="2012"/>
    <s v="Jun"/>
    <x v="28"/>
    <n v="25"/>
    <n v="33266.82"/>
  </r>
  <r>
    <n v="1"/>
    <n v="1"/>
    <d v="2012-06-29T00:00:00"/>
    <n v="15722.82"/>
    <b v="0"/>
    <n v="2012"/>
    <s v="Jun"/>
    <x v="28"/>
    <n v="26"/>
    <n v="31445.64"/>
  </r>
  <r>
    <n v="1"/>
    <n v="1"/>
    <d v="2012-07-06T00:00:00"/>
    <n v="17823.37"/>
    <b v="0"/>
    <n v="2012"/>
    <s v="Jul"/>
    <x v="29"/>
    <n v="27"/>
    <n v="35646.74"/>
  </r>
  <r>
    <n v="1"/>
    <n v="1"/>
    <d v="2012-07-13T00:00:00"/>
    <n v="16566.18"/>
    <b v="0"/>
    <n v="2012"/>
    <s v="Jul"/>
    <x v="29"/>
    <n v="28"/>
    <n v="33132.36"/>
  </r>
  <r>
    <n v="1"/>
    <n v="1"/>
    <d v="2012-07-20T00:00:00"/>
    <n v="16348.06"/>
    <b v="0"/>
    <n v="2012"/>
    <s v="Jul"/>
    <x v="29"/>
    <n v="29"/>
    <n v="32696.12"/>
  </r>
  <r>
    <n v="1"/>
    <n v="1"/>
    <d v="2012-07-27T00:00:00"/>
    <n v="15731.18"/>
    <b v="0"/>
    <n v="2012"/>
    <s v="Jul"/>
    <x v="29"/>
    <n v="30"/>
    <n v="31462.36"/>
  </r>
  <r>
    <n v="1"/>
    <n v="1"/>
    <d v="2012-08-03T00:00:00"/>
    <n v="16628.310000000001"/>
    <b v="0"/>
    <n v="2012"/>
    <s v="Aug"/>
    <x v="30"/>
    <n v="31"/>
    <n v="33256.620000000003"/>
  </r>
  <r>
    <n v="1"/>
    <n v="1"/>
    <d v="2012-08-10T00:00:00"/>
    <n v="16119.92"/>
    <b v="0"/>
    <n v="2012"/>
    <s v="Aug"/>
    <x v="30"/>
    <n v="32"/>
    <n v="32239.84"/>
  </r>
  <r>
    <n v="1"/>
    <n v="1"/>
    <d v="2012-08-17T00:00:00"/>
    <n v="17330.7"/>
    <b v="0"/>
    <n v="2012"/>
    <s v="Aug"/>
    <x v="30"/>
    <n v="33"/>
    <n v="34661.4"/>
  </r>
  <r>
    <n v="1"/>
    <n v="1"/>
    <d v="2012-08-24T00:00:00"/>
    <n v="16286.4"/>
    <b v="0"/>
    <n v="2012"/>
    <s v="Aug"/>
    <x v="30"/>
    <n v="34"/>
    <n v="32572.799999999999"/>
  </r>
  <r>
    <n v="1"/>
    <n v="1"/>
    <d v="2012-08-31T00:00:00"/>
    <n v="16680.240000000002"/>
    <b v="0"/>
    <n v="2012"/>
    <s v="Aug"/>
    <x v="30"/>
    <n v="35"/>
    <n v="33360.480000000003"/>
  </r>
  <r>
    <n v="1"/>
    <n v="1"/>
    <d v="2012-09-07T00:00:00"/>
    <n v="18322.37"/>
    <b v="1"/>
    <n v="2012"/>
    <s v="Sep"/>
    <x v="31"/>
    <n v="36"/>
    <n v="36644.74"/>
  </r>
  <r>
    <n v="1"/>
    <n v="1"/>
    <d v="2012-09-14T00:00:00"/>
    <n v="19616.22"/>
    <b v="0"/>
    <n v="2012"/>
    <s v="Sep"/>
    <x v="31"/>
    <n v="37"/>
    <n v="39232.44"/>
  </r>
  <r>
    <n v="1"/>
    <n v="1"/>
    <d v="2012-09-21T00:00:00"/>
    <n v="19251.5"/>
    <b v="0"/>
    <n v="2012"/>
    <s v="Sep"/>
    <x v="31"/>
    <n v="38"/>
    <n v="38503"/>
  </r>
  <r>
    <n v="1"/>
    <n v="1"/>
    <d v="2012-09-28T00:00:00"/>
    <n v="18947.810000000001"/>
    <b v="0"/>
    <n v="2012"/>
    <s v="Sep"/>
    <x v="31"/>
    <n v="39"/>
    <n v="37895.620000000003"/>
  </r>
  <r>
    <n v="1"/>
    <n v="1"/>
    <d v="2012-10-05T00:00:00"/>
    <n v="21904.47"/>
    <b v="0"/>
    <n v="2012"/>
    <s v="Oct"/>
    <x v="32"/>
    <n v="40"/>
    <n v="43808.94"/>
  </r>
  <r>
    <n v="1"/>
    <n v="1"/>
    <d v="2012-10-12T00:00:00"/>
    <n v="22764.01"/>
    <b v="0"/>
    <n v="2012"/>
    <s v="Oct"/>
    <x v="32"/>
    <n v="41"/>
    <n v="45528.02"/>
  </r>
  <r>
    <n v="1"/>
    <n v="1"/>
    <d v="2012-10-19T00:00:00"/>
    <n v="24185.27"/>
    <b v="0"/>
    <n v="2012"/>
    <s v="Oct"/>
    <x v="32"/>
    <n v="42"/>
    <n v="48370.54"/>
  </r>
  <r>
    <n v="1"/>
    <n v="1"/>
    <d v="2012-10-26T00:00:00"/>
    <n v="27390.81"/>
    <b v="0"/>
    <n v="2012"/>
    <s v="Oct"/>
    <x v="32"/>
    <n v="43"/>
    <n v="54781.62"/>
  </r>
  <r>
    <m/>
    <m/>
    <m/>
    <m/>
    <m/>
    <m/>
    <m/>
    <x v="33"/>
    <m/>
    <m/>
  </r>
  <r>
    <m/>
    <m/>
    <m/>
    <m/>
    <m/>
    <m/>
    <m/>
    <x v="33"/>
    <m/>
    <m/>
  </r>
  <r>
    <m/>
    <m/>
    <m/>
    <m/>
    <m/>
    <m/>
    <m/>
    <x v="33"/>
    <m/>
    <m/>
  </r>
  <r>
    <m/>
    <m/>
    <m/>
    <m/>
    <m/>
    <m/>
    <m/>
    <x v="33"/>
    <m/>
    <m/>
  </r>
  <r>
    <m/>
    <m/>
    <m/>
    <m/>
    <m/>
    <m/>
    <m/>
    <x v="33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n v="1"/>
    <n v="1"/>
    <d v="2010-02-05T00:00:00"/>
    <n v="24924.5"/>
    <b v="0"/>
    <n v="2010"/>
    <x v="0"/>
    <s v="2010-02"/>
    <n v="6"/>
    <n v="49849"/>
  </r>
  <r>
    <n v="1"/>
    <n v="1"/>
    <d v="2010-02-12T00:00:00"/>
    <n v="46039.49"/>
    <b v="1"/>
    <n v="2010"/>
    <x v="0"/>
    <s v="2010-02"/>
    <n v="7"/>
    <n v="92078.98"/>
  </r>
  <r>
    <n v="1"/>
    <n v="1"/>
    <d v="2010-02-19T00:00:00"/>
    <n v="41595.550000000003"/>
    <b v="0"/>
    <n v="2010"/>
    <x v="0"/>
    <s v="2010-02"/>
    <n v="8"/>
    <n v="83191.100000000006"/>
  </r>
  <r>
    <n v="1"/>
    <n v="1"/>
    <d v="2010-02-26T00:00:00"/>
    <n v="19403.54"/>
    <b v="0"/>
    <n v="2010"/>
    <x v="0"/>
    <s v="2010-02"/>
    <n v="9"/>
    <n v="38807.08"/>
  </r>
  <r>
    <n v="1"/>
    <n v="1"/>
    <d v="2010-03-05T00:00:00"/>
    <n v="21827.9"/>
    <b v="0"/>
    <n v="2010"/>
    <x v="1"/>
    <s v="2010-03"/>
    <n v="10"/>
    <n v="43655.8"/>
  </r>
  <r>
    <n v="1"/>
    <n v="1"/>
    <d v="2010-03-12T00:00:00"/>
    <n v="21043.39"/>
    <b v="0"/>
    <n v="2010"/>
    <x v="1"/>
    <s v="2010-03"/>
    <n v="11"/>
    <n v="42086.78"/>
  </r>
  <r>
    <n v="1"/>
    <n v="1"/>
    <d v="2010-03-19T00:00:00"/>
    <n v="22136.639999999999"/>
    <b v="0"/>
    <n v="2010"/>
    <x v="1"/>
    <s v="2010-03"/>
    <n v="12"/>
    <n v="44273.279999999999"/>
  </r>
  <r>
    <n v="1"/>
    <n v="1"/>
    <d v="2010-03-26T00:00:00"/>
    <n v="26229.21"/>
    <b v="0"/>
    <n v="2010"/>
    <x v="1"/>
    <s v="2010-03"/>
    <n v="13"/>
    <n v="52458.42"/>
  </r>
  <r>
    <n v="1"/>
    <n v="1"/>
    <d v="2010-04-02T00:00:00"/>
    <n v="57258.43"/>
    <b v="0"/>
    <n v="2010"/>
    <x v="2"/>
    <s v="2010-04"/>
    <n v="14"/>
    <n v="114516.86"/>
  </r>
  <r>
    <n v="1"/>
    <n v="1"/>
    <d v="2010-04-09T00:00:00"/>
    <n v="42960.91"/>
    <b v="0"/>
    <n v="2010"/>
    <x v="2"/>
    <s v="2010-04"/>
    <n v="15"/>
    <n v="85921.82"/>
  </r>
  <r>
    <n v="1"/>
    <n v="1"/>
    <d v="2010-04-16T00:00:00"/>
    <n v="17596.96"/>
    <b v="0"/>
    <n v="2010"/>
    <x v="2"/>
    <s v="2010-04"/>
    <n v="16"/>
    <n v="35193.919999999998"/>
  </r>
  <r>
    <n v="1"/>
    <n v="1"/>
    <d v="2010-04-23T00:00:00"/>
    <n v="16145.35"/>
    <b v="0"/>
    <n v="2010"/>
    <x v="2"/>
    <s v="2010-04"/>
    <n v="17"/>
    <n v="32290.7"/>
  </r>
  <r>
    <n v="1"/>
    <n v="1"/>
    <d v="2010-04-30T00:00:00"/>
    <n v="16555.11"/>
    <b v="0"/>
    <n v="2010"/>
    <x v="2"/>
    <s v="2010-04"/>
    <n v="18"/>
    <n v="33110.22"/>
  </r>
  <r>
    <n v="1"/>
    <n v="1"/>
    <d v="2010-05-07T00:00:00"/>
    <n v="17413.939999999999"/>
    <b v="0"/>
    <n v="2010"/>
    <x v="3"/>
    <s v="2010-05"/>
    <n v="19"/>
    <n v="34827.879999999997"/>
  </r>
  <r>
    <n v="1"/>
    <n v="1"/>
    <d v="2010-05-14T00:00:00"/>
    <n v="18926.740000000002"/>
    <b v="0"/>
    <n v="2010"/>
    <x v="3"/>
    <s v="2010-05"/>
    <n v="20"/>
    <n v="37853.480000000003"/>
  </r>
  <r>
    <n v="1"/>
    <n v="1"/>
    <d v="2010-05-21T00:00:00"/>
    <n v="14773.04"/>
    <b v="0"/>
    <n v="2010"/>
    <x v="3"/>
    <s v="2010-05"/>
    <n v="21"/>
    <n v="29546.080000000002"/>
  </r>
  <r>
    <n v="1"/>
    <n v="1"/>
    <d v="2010-05-28T00:00:00"/>
    <n v="15580.43"/>
    <b v="0"/>
    <n v="2010"/>
    <x v="3"/>
    <s v="2010-05"/>
    <n v="22"/>
    <n v="31160.86"/>
  </r>
  <r>
    <n v="1"/>
    <n v="1"/>
    <d v="2010-06-04T00:00:00"/>
    <n v="17558.09"/>
    <b v="0"/>
    <n v="2010"/>
    <x v="4"/>
    <s v="2010-06"/>
    <n v="23"/>
    <n v="35116.18"/>
  </r>
  <r>
    <n v="1"/>
    <n v="1"/>
    <d v="2010-06-11T00:00:00"/>
    <n v="16637.62"/>
    <b v="0"/>
    <n v="2010"/>
    <x v="4"/>
    <s v="2010-06"/>
    <n v="24"/>
    <n v="33275.24"/>
  </r>
  <r>
    <n v="1"/>
    <n v="1"/>
    <d v="2010-06-18T00:00:00"/>
    <n v="16216.27"/>
    <b v="0"/>
    <n v="2010"/>
    <x v="4"/>
    <s v="2010-06"/>
    <n v="25"/>
    <n v="32432.54"/>
  </r>
  <r>
    <n v="1"/>
    <n v="1"/>
    <d v="2010-06-25T00:00:00"/>
    <n v="16328.72"/>
    <b v="0"/>
    <n v="2010"/>
    <x v="4"/>
    <s v="2010-06"/>
    <n v="26"/>
    <n v="32657.439999999999"/>
  </r>
  <r>
    <n v="1"/>
    <n v="1"/>
    <d v="2010-07-02T00:00:00"/>
    <n v="16333.14"/>
    <b v="0"/>
    <n v="2010"/>
    <x v="5"/>
    <s v="2010-07"/>
    <n v="27"/>
    <n v="32666.28"/>
  </r>
  <r>
    <n v="1"/>
    <n v="1"/>
    <d v="2010-07-09T00:00:00"/>
    <n v="17688.759999999998"/>
    <b v="0"/>
    <n v="2010"/>
    <x v="5"/>
    <s v="2010-07"/>
    <n v="28"/>
    <n v="35377.519999999997"/>
  </r>
  <r>
    <n v="1"/>
    <n v="1"/>
    <d v="2010-07-16T00:00:00"/>
    <n v="17150.84"/>
    <b v="0"/>
    <n v="2010"/>
    <x v="5"/>
    <s v="2010-07"/>
    <n v="29"/>
    <n v="34301.68"/>
  </r>
  <r>
    <n v="1"/>
    <n v="1"/>
    <d v="2010-07-23T00:00:00"/>
    <n v="15360.45"/>
    <b v="0"/>
    <n v="2010"/>
    <x v="5"/>
    <s v="2010-07"/>
    <n v="30"/>
    <n v="30720.9"/>
  </r>
  <r>
    <n v="1"/>
    <n v="1"/>
    <d v="2010-07-30T00:00:00"/>
    <n v="15381.82"/>
    <b v="0"/>
    <n v="2010"/>
    <x v="5"/>
    <s v="2010-07"/>
    <n v="31"/>
    <n v="30763.64"/>
  </r>
  <r>
    <n v="1"/>
    <n v="1"/>
    <d v="2010-08-06T00:00:00"/>
    <n v="17508.41"/>
    <b v="0"/>
    <n v="2010"/>
    <x v="6"/>
    <s v="2010-08"/>
    <n v="32"/>
    <n v="35016.82"/>
  </r>
  <r>
    <n v="1"/>
    <n v="1"/>
    <d v="2010-08-13T00:00:00"/>
    <n v="15536.4"/>
    <b v="0"/>
    <n v="2010"/>
    <x v="6"/>
    <s v="2010-08"/>
    <n v="33"/>
    <n v="31072.799999999999"/>
  </r>
  <r>
    <n v="1"/>
    <n v="1"/>
    <d v="2010-08-20T00:00:00"/>
    <n v="15740.13"/>
    <b v="0"/>
    <n v="2010"/>
    <x v="6"/>
    <s v="2010-08"/>
    <n v="34"/>
    <n v="31480.26"/>
  </r>
  <r>
    <n v="1"/>
    <n v="1"/>
    <d v="2010-08-27T00:00:00"/>
    <n v="15793.87"/>
    <b v="0"/>
    <n v="2010"/>
    <x v="6"/>
    <s v="2010-08"/>
    <n v="35"/>
    <n v="31587.74"/>
  </r>
  <r>
    <n v="1"/>
    <n v="1"/>
    <d v="2010-09-03T00:00:00"/>
    <n v="16241.78"/>
    <b v="0"/>
    <n v="2010"/>
    <x v="7"/>
    <s v="2010-09"/>
    <n v="36"/>
    <n v="32483.56"/>
  </r>
  <r>
    <n v="1"/>
    <n v="1"/>
    <d v="2010-09-10T00:00:00"/>
    <n v="18194.740000000002"/>
    <b v="1"/>
    <n v="2010"/>
    <x v="7"/>
    <s v="2010-09"/>
    <n v="37"/>
    <n v="36389.480000000003"/>
  </r>
  <r>
    <n v="1"/>
    <n v="1"/>
    <d v="2010-09-17T00:00:00"/>
    <n v="19354.23"/>
    <b v="0"/>
    <n v="2010"/>
    <x v="7"/>
    <s v="2010-09"/>
    <n v="38"/>
    <n v="38708.46"/>
  </r>
  <r>
    <n v="1"/>
    <n v="1"/>
    <d v="2010-09-24T00:00:00"/>
    <n v="18122.52"/>
    <b v="0"/>
    <n v="2010"/>
    <x v="7"/>
    <s v="2010-09"/>
    <n v="39"/>
    <n v="36245.040000000001"/>
  </r>
  <r>
    <n v="1"/>
    <n v="1"/>
    <d v="2010-10-01T00:00:00"/>
    <n v="20094.189999999999"/>
    <b v="0"/>
    <n v="2010"/>
    <x v="8"/>
    <s v="2010-10"/>
    <n v="40"/>
    <n v="40188.379999999997"/>
  </r>
  <r>
    <n v="1"/>
    <n v="1"/>
    <d v="2010-10-08T00:00:00"/>
    <n v="23388.03"/>
    <b v="0"/>
    <n v="2010"/>
    <x v="8"/>
    <s v="2010-10"/>
    <n v="41"/>
    <n v="46776.06"/>
  </r>
  <r>
    <n v="1"/>
    <n v="1"/>
    <d v="2010-10-15T00:00:00"/>
    <n v="26978.34"/>
    <b v="0"/>
    <n v="2010"/>
    <x v="8"/>
    <s v="2010-10"/>
    <n v="42"/>
    <n v="53956.68"/>
  </r>
  <r>
    <n v="1"/>
    <n v="1"/>
    <d v="2010-10-22T00:00:00"/>
    <n v="25543.040000000001"/>
    <b v="0"/>
    <n v="2010"/>
    <x v="8"/>
    <s v="2010-10"/>
    <n v="43"/>
    <n v="51086.080000000002"/>
  </r>
  <r>
    <n v="1"/>
    <n v="1"/>
    <d v="2010-10-29T00:00:00"/>
    <n v="38640.93"/>
    <b v="0"/>
    <n v="2010"/>
    <x v="8"/>
    <s v="2010-10"/>
    <n v="44"/>
    <n v="77281.86"/>
  </r>
  <r>
    <n v="1"/>
    <n v="1"/>
    <d v="2010-11-05T00:00:00"/>
    <n v="34238.879999999997"/>
    <b v="0"/>
    <n v="2010"/>
    <x v="9"/>
    <s v="2010-11"/>
    <n v="45"/>
    <n v="68477.759999999995"/>
  </r>
  <r>
    <n v="1"/>
    <n v="1"/>
    <d v="2010-11-12T00:00:00"/>
    <n v="19549.39"/>
    <b v="0"/>
    <n v="2010"/>
    <x v="9"/>
    <s v="2010-11"/>
    <n v="46"/>
    <n v="39098.78"/>
  </r>
  <r>
    <n v="1"/>
    <n v="1"/>
    <d v="2010-11-19T00:00:00"/>
    <n v="19552.84"/>
    <b v="0"/>
    <n v="2010"/>
    <x v="9"/>
    <s v="2010-11"/>
    <n v="47"/>
    <n v="39105.68"/>
  </r>
  <r>
    <n v="1"/>
    <n v="1"/>
    <d v="2010-11-26T00:00:00"/>
    <n v="18820.29"/>
    <b v="1"/>
    <n v="2010"/>
    <x v="9"/>
    <s v="2010-11"/>
    <n v="48"/>
    <n v="37640.58"/>
  </r>
  <r>
    <n v="1"/>
    <n v="1"/>
    <d v="2010-12-03T00:00:00"/>
    <n v="22517.56"/>
    <b v="0"/>
    <n v="2010"/>
    <x v="10"/>
    <s v="2010-12"/>
    <n v="49"/>
    <n v="45035.12"/>
  </r>
  <r>
    <n v="1"/>
    <n v="1"/>
    <d v="2010-12-10T00:00:00"/>
    <n v="31497.65"/>
    <b v="0"/>
    <n v="2010"/>
    <x v="10"/>
    <s v="2010-12"/>
    <n v="50"/>
    <n v="62995.3"/>
  </r>
  <r>
    <n v="1"/>
    <n v="1"/>
    <d v="2010-12-17T00:00:00"/>
    <n v="44912.86"/>
    <b v="0"/>
    <n v="2010"/>
    <x v="10"/>
    <s v="2010-12"/>
    <n v="51"/>
    <n v="89825.72"/>
  </r>
  <r>
    <n v="1"/>
    <n v="1"/>
    <d v="2010-12-24T00:00:00"/>
    <n v="55931.23"/>
    <b v="0"/>
    <n v="2010"/>
    <x v="10"/>
    <s v="2010-12"/>
    <n v="52"/>
    <n v="111862.46"/>
  </r>
  <r>
    <n v="1"/>
    <n v="1"/>
    <d v="2010-12-31T00:00:00"/>
    <n v="19124.580000000002"/>
    <b v="1"/>
    <n v="2010"/>
    <x v="10"/>
    <s v="2010-12"/>
    <n v="53"/>
    <n v="38249.160000000003"/>
  </r>
  <r>
    <n v="1"/>
    <n v="1"/>
    <d v="2011-01-07T00:00:00"/>
    <n v="15984.24"/>
    <b v="0"/>
    <n v="2011"/>
    <x v="11"/>
    <s v="2011-01"/>
    <n v="2"/>
    <n v="31968.48"/>
  </r>
  <r>
    <n v="1"/>
    <n v="1"/>
    <d v="2011-01-14T00:00:00"/>
    <n v="17359.7"/>
    <b v="0"/>
    <n v="2011"/>
    <x v="11"/>
    <s v="2011-01"/>
    <n v="3"/>
    <n v="34719.4"/>
  </r>
  <r>
    <n v="1"/>
    <n v="1"/>
    <d v="2011-01-21T00:00:00"/>
    <n v="17341.47"/>
    <b v="0"/>
    <n v="2011"/>
    <x v="11"/>
    <s v="2011-01"/>
    <n v="4"/>
    <n v="34682.94"/>
  </r>
  <r>
    <n v="1"/>
    <n v="1"/>
    <d v="2011-01-28T00:00:00"/>
    <n v="18461.18"/>
    <b v="0"/>
    <n v="2011"/>
    <x v="11"/>
    <s v="2011-01"/>
    <n v="5"/>
    <n v="36922.36"/>
  </r>
  <r>
    <n v="1"/>
    <n v="1"/>
    <d v="2011-02-04T00:00:00"/>
    <n v="21665.759999999998"/>
    <b v="0"/>
    <n v="2011"/>
    <x v="0"/>
    <s v="2011-02"/>
    <n v="6"/>
    <n v="43331.519999999997"/>
  </r>
  <r>
    <n v="1"/>
    <n v="1"/>
    <d v="2011-02-11T00:00:00"/>
    <n v="37887.17"/>
    <b v="1"/>
    <n v="2011"/>
    <x v="0"/>
    <s v="2011-02"/>
    <n v="7"/>
    <n v="75774.34"/>
  </r>
  <r>
    <n v="1"/>
    <n v="1"/>
    <d v="2011-02-18T00:00:00"/>
    <n v="46845.87"/>
    <b v="0"/>
    <n v="2011"/>
    <x v="0"/>
    <s v="2011-02"/>
    <n v="8"/>
    <n v="93691.74"/>
  </r>
  <r>
    <n v="1"/>
    <n v="1"/>
    <d v="2011-02-25T00:00:00"/>
    <n v="19363.830000000002"/>
    <b v="0"/>
    <n v="2011"/>
    <x v="0"/>
    <s v="2011-02"/>
    <n v="9"/>
    <n v="38727.660000000003"/>
  </r>
  <r>
    <n v="1"/>
    <n v="1"/>
    <d v="2011-03-04T00:00:00"/>
    <n v="20327.61"/>
    <b v="0"/>
    <n v="2011"/>
    <x v="1"/>
    <s v="2011-03"/>
    <n v="10"/>
    <n v="40655.22"/>
  </r>
  <r>
    <n v="1"/>
    <n v="1"/>
    <d v="2011-03-11T00:00:00"/>
    <n v="21280.400000000001"/>
    <b v="0"/>
    <n v="2011"/>
    <x v="1"/>
    <s v="2011-03"/>
    <n v="11"/>
    <n v="42560.800000000003"/>
  </r>
  <r>
    <n v="1"/>
    <n v="1"/>
    <d v="2011-03-18T00:00:00"/>
    <n v="20334.23"/>
    <b v="0"/>
    <n v="2011"/>
    <x v="1"/>
    <s v="2011-03"/>
    <n v="12"/>
    <n v="40668.46"/>
  </r>
  <r>
    <n v="1"/>
    <n v="1"/>
    <d v="2011-03-25T00:00:00"/>
    <n v="20881.099999999999"/>
    <b v="0"/>
    <n v="2011"/>
    <x v="1"/>
    <s v="2011-03"/>
    <n v="13"/>
    <n v="41762.199999999997"/>
  </r>
  <r>
    <n v="1"/>
    <n v="1"/>
    <d v="2011-04-01T00:00:00"/>
    <n v="20398.09"/>
    <b v="0"/>
    <n v="2011"/>
    <x v="2"/>
    <s v="2011-04"/>
    <n v="14"/>
    <n v="40796.18"/>
  </r>
  <r>
    <n v="1"/>
    <n v="1"/>
    <d v="2011-04-08T00:00:00"/>
    <n v="23873.79"/>
    <b v="0"/>
    <n v="2011"/>
    <x v="2"/>
    <s v="2011-04"/>
    <n v="15"/>
    <n v="47747.58"/>
  </r>
  <r>
    <n v="1"/>
    <n v="1"/>
    <d v="2011-04-15T00:00:00"/>
    <n v="28762.37"/>
    <b v="0"/>
    <n v="2011"/>
    <x v="2"/>
    <s v="2011-04"/>
    <n v="16"/>
    <n v="57524.74"/>
  </r>
  <r>
    <n v="1"/>
    <n v="1"/>
    <d v="2011-04-22T00:00:00"/>
    <n v="50510.31"/>
    <b v="0"/>
    <n v="2011"/>
    <x v="2"/>
    <s v="2011-04"/>
    <n v="17"/>
    <n v="101020.62"/>
  </r>
  <r>
    <n v="1"/>
    <n v="1"/>
    <d v="2011-04-29T00:00:00"/>
    <n v="41512.39"/>
    <b v="0"/>
    <n v="2011"/>
    <x v="2"/>
    <s v="2011-04"/>
    <n v="18"/>
    <n v="83024.78"/>
  </r>
  <r>
    <n v="1"/>
    <n v="1"/>
    <d v="2011-05-06T00:00:00"/>
    <n v="20138.189999999999"/>
    <b v="0"/>
    <n v="2011"/>
    <x v="3"/>
    <s v="2011-05"/>
    <n v="19"/>
    <n v="40276.379999999997"/>
  </r>
  <r>
    <n v="1"/>
    <n v="1"/>
    <d v="2011-05-13T00:00:00"/>
    <n v="17235.150000000001"/>
    <b v="0"/>
    <n v="2011"/>
    <x v="3"/>
    <s v="2011-05"/>
    <n v="20"/>
    <n v="34470.300000000003"/>
  </r>
  <r>
    <n v="1"/>
    <n v="1"/>
    <d v="2011-05-20T00:00:00"/>
    <n v="15136.78"/>
    <b v="0"/>
    <n v="2011"/>
    <x v="3"/>
    <s v="2011-05"/>
    <n v="21"/>
    <n v="30273.56"/>
  </r>
  <r>
    <n v="1"/>
    <n v="1"/>
    <d v="2011-05-27T00:00:00"/>
    <n v="15741.6"/>
    <b v="0"/>
    <n v="2011"/>
    <x v="3"/>
    <s v="2011-05"/>
    <n v="22"/>
    <n v="31483.200000000001"/>
  </r>
  <r>
    <n v="1"/>
    <n v="1"/>
    <d v="2011-06-03T00:00:00"/>
    <n v="16434.150000000001"/>
    <b v="0"/>
    <n v="2011"/>
    <x v="4"/>
    <s v="2011-06"/>
    <n v="23"/>
    <n v="32868.300000000003"/>
  </r>
  <r>
    <n v="1"/>
    <n v="1"/>
    <d v="2011-06-10T00:00:00"/>
    <n v="15883.52"/>
    <b v="0"/>
    <n v="2011"/>
    <x v="4"/>
    <s v="2011-06"/>
    <n v="24"/>
    <n v="31767.040000000001"/>
  </r>
  <r>
    <n v="1"/>
    <n v="1"/>
    <d v="2011-06-17T00:00:00"/>
    <n v="14978.09"/>
    <b v="0"/>
    <n v="2011"/>
    <x v="4"/>
    <s v="2011-06"/>
    <n v="25"/>
    <n v="29956.18"/>
  </r>
  <r>
    <n v="1"/>
    <n v="1"/>
    <d v="2011-06-24T00:00:00"/>
    <n v="15682.81"/>
    <b v="0"/>
    <n v="2011"/>
    <x v="4"/>
    <s v="2011-06"/>
    <n v="26"/>
    <n v="31365.62"/>
  </r>
  <r>
    <n v="1"/>
    <n v="1"/>
    <d v="2011-07-01T00:00:00"/>
    <n v="15363.5"/>
    <b v="0"/>
    <n v="2011"/>
    <x v="5"/>
    <s v="2011-07"/>
    <n v="27"/>
    <n v="30727"/>
  </r>
  <r>
    <n v="1"/>
    <n v="1"/>
    <d v="2011-07-08T00:00:00"/>
    <n v="16148.87"/>
    <b v="0"/>
    <n v="2011"/>
    <x v="5"/>
    <s v="2011-07"/>
    <n v="28"/>
    <n v="32297.74"/>
  </r>
  <r>
    <n v="1"/>
    <n v="1"/>
    <d v="2011-07-15T00:00:00"/>
    <n v="15654.85"/>
    <b v="0"/>
    <n v="2011"/>
    <x v="5"/>
    <s v="2011-07"/>
    <n v="29"/>
    <n v="31309.7"/>
  </r>
  <r>
    <n v="1"/>
    <n v="1"/>
    <d v="2011-07-22T00:00:00"/>
    <n v="15766.6"/>
    <b v="0"/>
    <n v="2011"/>
    <x v="5"/>
    <s v="2011-07"/>
    <n v="30"/>
    <n v="31533.200000000001"/>
  </r>
  <r>
    <n v="1"/>
    <n v="1"/>
    <d v="2011-07-29T00:00:00"/>
    <n v="15922.41"/>
    <b v="0"/>
    <n v="2011"/>
    <x v="5"/>
    <s v="2011-07"/>
    <n v="31"/>
    <n v="31844.82"/>
  </r>
  <r>
    <n v="1"/>
    <n v="1"/>
    <d v="2011-08-05T00:00:00"/>
    <n v="15295.55"/>
    <b v="0"/>
    <n v="2011"/>
    <x v="6"/>
    <s v="2011-08"/>
    <n v="32"/>
    <n v="30591.1"/>
  </r>
  <r>
    <n v="1"/>
    <n v="1"/>
    <d v="2011-08-12T00:00:00"/>
    <n v="14539.79"/>
    <b v="0"/>
    <n v="2011"/>
    <x v="6"/>
    <s v="2011-08"/>
    <n v="33"/>
    <n v="29079.58"/>
  </r>
  <r>
    <n v="1"/>
    <n v="1"/>
    <d v="2011-08-19T00:00:00"/>
    <n v="14689.24"/>
    <b v="0"/>
    <n v="2011"/>
    <x v="6"/>
    <s v="2011-08"/>
    <n v="34"/>
    <n v="29378.48"/>
  </r>
  <r>
    <n v="1"/>
    <n v="1"/>
    <d v="2011-08-26T00:00:00"/>
    <n v="14537.37"/>
    <b v="0"/>
    <n v="2011"/>
    <x v="6"/>
    <s v="2011-08"/>
    <n v="35"/>
    <n v="29074.74"/>
  </r>
  <r>
    <n v="1"/>
    <n v="1"/>
    <d v="2011-09-02T00:00:00"/>
    <n v="15277.27"/>
    <b v="0"/>
    <n v="2011"/>
    <x v="7"/>
    <s v="2011-09"/>
    <n v="36"/>
    <n v="30554.54"/>
  </r>
  <r>
    <n v="1"/>
    <n v="1"/>
    <d v="2011-09-09T00:00:00"/>
    <n v="17746.68"/>
    <b v="1"/>
    <n v="2011"/>
    <x v="7"/>
    <s v="2011-09"/>
    <n v="37"/>
    <n v="35493.360000000001"/>
  </r>
  <r>
    <n v="1"/>
    <n v="1"/>
    <d v="2011-09-16T00:00:00"/>
    <n v="18535.48"/>
    <b v="0"/>
    <n v="2011"/>
    <x v="7"/>
    <s v="2011-09"/>
    <n v="38"/>
    <n v="37070.959999999999"/>
  </r>
  <r>
    <n v="1"/>
    <n v="1"/>
    <d v="2011-09-23T00:00:00"/>
    <n v="17859.3"/>
    <b v="0"/>
    <n v="2011"/>
    <x v="7"/>
    <s v="2011-09"/>
    <n v="39"/>
    <n v="35718.6"/>
  </r>
  <r>
    <n v="1"/>
    <n v="1"/>
    <d v="2011-09-30T00:00:00"/>
    <n v="18337.68"/>
    <b v="0"/>
    <n v="2011"/>
    <x v="7"/>
    <s v="2011-09"/>
    <n v="40"/>
    <n v="36675.360000000001"/>
  </r>
  <r>
    <n v="1"/>
    <n v="1"/>
    <d v="2011-10-07T00:00:00"/>
    <n v="20797.580000000002"/>
    <b v="0"/>
    <n v="2011"/>
    <x v="8"/>
    <s v="2011-10"/>
    <n v="41"/>
    <n v="41595.160000000003"/>
  </r>
  <r>
    <n v="1"/>
    <n v="1"/>
    <d v="2011-10-14T00:00:00"/>
    <n v="23077.55"/>
    <b v="0"/>
    <n v="2011"/>
    <x v="8"/>
    <s v="2011-10"/>
    <n v="42"/>
    <n v="46155.1"/>
  </r>
  <r>
    <n v="1"/>
    <n v="1"/>
    <d v="2011-10-21T00:00:00"/>
    <n v="23351.8"/>
    <b v="0"/>
    <n v="2011"/>
    <x v="8"/>
    <s v="2011-10"/>
    <n v="43"/>
    <n v="46703.6"/>
  </r>
  <r>
    <n v="1"/>
    <n v="1"/>
    <d v="2011-10-28T00:00:00"/>
    <n v="31579.9"/>
    <b v="0"/>
    <n v="2011"/>
    <x v="8"/>
    <s v="2011-10"/>
    <n v="44"/>
    <n v="63159.8"/>
  </r>
  <r>
    <n v="1"/>
    <n v="1"/>
    <d v="2011-11-04T00:00:00"/>
    <n v="39886.06"/>
    <b v="0"/>
    <n v="2011"/>
    <x v="9"/>
    <s v="2011-11"/>
    <n v="45"/>
    <n v="79772.12"/>
  </r>
  <r>
    <n v="1"/>
    <n v="1"/>
    <d v="2011-11-11T00:00:00"/>
    <n v="18689.54"/>
    <b v="0"/>
    <n v="2011"/>
    <x v="9"/>
    <s v="2011-11"/>
    <n v="46"/>
    <n v="37379.08"/>
  </r>
  <r>
    <n v="1"/>
    <n v="1"/>
    <d v="2011-11-18T00:00:00"/>
    <n v="19050.66"/>
    <b v="0"/>
    <n v="2011"/>
    <x v="9"/>
    <s v="2011-11"/>
    <n v="47"/>
    <n v="38101.32"/>
  </r>
  <r>
    <n v="1"/>
    <n v="1"/>
    <d v="2011-11-25T00:00:00"/>
    <n v="20911.25"/>
    <b v="1"/>
    <n v="2011"/>
    <x v="9"/>
    <s v="2011-11"/>
    <n v="48"/>
    <n v="41822.5"/>
  </r>
  <r>
    <n v="1"/>
    <n v="1"/>
    <d v="2011-12-02T00:00:00"/>
    <n v="25293.49"/>
    <b v="0"/>
    <n v="2011"/>
    <x v="10"/>
    <s v="2011-12"/>
    <n v="49"/>
    <n v="50586.98"/>
  </r>
  <r>
    <n v="1"/>
    <n v="1"/>
    <d v="2011-12-09T00:00:00"/>
    <n v="33305.919999999998"/>
    <b v="0"/>
    <n v="2011"/>
    <x v="10"/>
    <s v="2011-12"/>
    <n v="50"/>
    <n v="66611.839999999997"/>
  </r>
  <r>
    <n v="1"/>
    <n v="1"/>
    <d v="2011-12-16T00:00:00"/>
    <n v="45773.03"/>
    <b v="0"/>
    <n v="2011"/>
    <x v="10"/>
    <s v="2011-12"/>
    <n v="51"/>
    <n v="91546.06"/>
  </r>
  <r>
    <n v="1"/>
    <n v="1"/>
    <d v="2011-12-23T00:00:00"/>
    <n v="46788.75"/>
    <b v="0"/>
    <n v="2011"/>
    <x v="10"/>
    <s v="2011-12"/>
    <n v="52"/>
    <n v="93577.5"/>
  </r>
  <r>
    <n v="1"/>
    <n v="1"/>
    <d v="2011-12-30T00:00:00"/>
    <n v="23350.880000000001"/>
    <b v="1"/>
    <n v="2011"/>
    <x v="10"/>
    <s v="2011-12"/>
    <n v="53"/>
    <n v="46701.760000000002"/>
  </r>
  <r>
    <n v="1"/>
    <n v="1"/>
    <d v="2012-01-06T00:00:00"/>
    <n v="16567.689999999999"/>
    <b v="0"/>
    <n v="2012"/>
    <x v="11"/>
    <s v="2012-01"/>
    <n v="1"/>
    <n v="33135.379999999997"/>
  </r>
  <r>
    <n v="1"/>
    <n v="1"/>
    <d v="2012-01-13T00:00:00"/>
    <n v="16894.400000000001"/>
    <b v="0"/>
    <n v="2012"/>
    <x v="11"/>
    <s v="2012-01"/>
    <n v="2"/>
    <n v="33788.800000000003"/>
  </r>
  <r>
    <n v="1"/>
    <n v="1"/>
    <d v="2012-01-20T00:00:00"/>
    <n v="18365.099999999999"/>
    <b v="0"/>
    <n v="2012"/>
    <x v="11"/>
    <s v="2012-01"/>
    <n v="3"/>
    <n v="36730.199999999997"/>
  </r>
  <r>
    <n v="1"/>
    <n v="1"/>
    <d v="2012-01-27T00:00:00"/>
    <n v="18378.16"/>
    <b v="0"/>
    <n v="2012"/>
    <x v="11"/>
    <s v="2012-01"/>
    <n v="4"/>
    <n v="36756.32"/>
  </r>
  <r>
    <n v="1"/>
    <n v="1"/>
    <d v="2012-02-03T00:00:00"/>
    <n v="23510.49"/>
    <b v="0"/>
    <n v="2012"/>
    <x v="0"/>
    <s v="2012-02"/>
    <n v="5"/>
    <n v="47020.98"/>
  </r>
  <r>
    <n v="1"/>
    <n v="1"/>
    <d v="2012-02-10T00:00:00"/>
    <n v="36988.49"/>
    <b v="1"/>
    <n v="2012"/>
    <x v="0"/>
    <s v="2012-02"/>
    <n v="6"/>
    <n v="73976.98"/>
  </r>
  <r>
    <n v="1"/>
    <n v="1"/>
    <d v="2012-02-17T00:00:00"/>
    <n v="54060.1"/>
    <b v="0"/>
    <n v="2012"/>
    <x v="0"/>
    <s v="2012-02"/>
    <n v="7"/>
    <n v="108120.2"/>
  </r>
  <r>
    <n v="1"/>
    <n v="1"/>
    <d v="2012-02-24T00:00:00"/>
    <n v="20124.22"/>
    <b v="0"/>
    <n v="2012"/>
    <x v="0"/>
    <s v="2012-02"/>
    <n v="8"/>
    <n v="40248.44"/>
  </r>
  <r>
    <n v="1"/>
    <n v="1"/>
    <d v="2012-03-02T00:00:00"/>
    <n v="20113.03"/>
    <b v="0"/>
    <n v="2012"/>
    <x v="1"/>
    <s v="2012-03"/>
    <n v="9"/>
    <n v="40226.06"/>
  </r>
  <r>
    <n v="1"/>
    <n v="1"/>
    <d v="2012-03-09T00:00:00"/>
    <n v="21140.07"/>
    <b v="0"/>
    <n v="2012"/>
    <x v="1"/>
    <s v="2012-03"/>
    <n v="10"/>
    <n v="42280.14"/>
  </r>
  <r>
    <n v="1"/>
    <n v="1"/>
    <d v="2012-03-16T00:00:00"/>
    <n v="22366.880000000001"/>
    <b v="0"/>
    <n v="2012"/>
    <x v="1"/>
    <s v="2012-03"/>
    <n v="11"/>
    <n v="44733.760000000002"/>
  </r>
  <r>
    <n v="1"/>
    <n v="1"/>
    <d v="2012-03-23T00:00:00"/>
    <n v="22107.7"/>
    <b v="0"/>
    <n v="2012"/>
    <x v="1"/>
    <s v="2012-03"/>
    <n v="12"/>
    <n v="44215.4"/>
  </r>
  <r>
    <n v="1"/>
    <n v="1"/>
    <d v="2012-03-30T00:00:00"/>
    <n v="28952.86"/>
    <b v="0"/>
    <n v="2012"/>
    <x v="1"/>
    <s v="2012-03"/>
    <n v="13"/>
    <n v="57905.72"/>
  </r>
  <r>
    <n v="1"/>
    <n v="1"/>
    <d v="2012-04-06T00:00:00"/>
    <n v="57592.12"/>
    <b v="0"/>
    <n v="2012"/>
    <x v="2"/>
    <s v="2012-04"/>
    <n v="14"/>
    <n v="115184.24"/>
  </r>
  <r>
    <n v="1"/>
    <n v="1"/>
    <d v="2012-04-13T00:00:00"/>
    <n v="34684.21"/>
    <b v="0"/>
    <n v="2012"/>
    <x v="2"/>
    <s v="2012-04"/>
    <n v="15"/>
    <n v="69368.42"/>
  </r>
  <r>
    <n v="1"/>
    <n v="1"/>
    <d v="2012-04-20T00:00:00"/>
    <n v="16976.189999999999"/>
    <b v="0"/>
    <n v="2012"/>
    <x v="2"/>
    <s v="2012-04"/>
    <n v="16"/>
    <n v="33952.379999999997"/>
  </r>
  <r>
    <n v="1"/>
    <n v="1"/>
    <d v="2012-04-27T00:00:00"/>
    <n v="16347.6"/>
    <b v="0"/>
    <n v="2012"/>
    <x v="2"/>
    <s v="2012-04"/>
    <n v="17"/>
    <n v="32695.200000000001"/>
  </r>
  <r>
    <n v="1"/>
    <n v="1"/>
    <d v="2012-05-04T00:00:00"/>
    <n v="17147.439999999999"/>
    <b v="0"/>
    <n v="2012"/>
    <x v="3"/>
    <s v="2012-05"/>
    <n v="18"/>
    <n v="34294.879999999997"/>
  </r>
  <r>
    <n v="1"/>
    <n v="1"/>
    <d v="2012-05-11T00:00:00"/>
    <n v="18164.2"/>
    <b v="0"/>
    <n v="2012"/>
    <x v="3"/>
    <s v="2012-05"/>
    <n v="19"/>
    <n v="36328.400000000001"/>
  </r>
  <r>
    <n v="1"/>
    <n v="1"/>
    <d v="2012-05-18T00:00:00"/>
    <n v="18517.79"/>
    <b v="0"/>
    <n v="2012"/>
    <x v="3"/>
    <s v="2012-05"/>
    <n v="20"/>
    <n v="37035.58"/>
  </r>
  <r>
    <n v="1"/>
    <n v="1"/>
    <d v="2012-05-25T00:00:00"/>
    <n v="16963.55"/>
    <b v="0"/>
    <n v="2012"/>
    <x v="3"/>
    <s v="2012-05"/>
    <n v="21"/>
    <n v="33927.1"/>
  </r>
  <r>
    <n v="1"/>
    <n v="1"/>
    <d v="2012-06-01T00:00:00"/>
    <n v="16065.49"/>
    <b v="0"/>
    <n v="2012"/>
    <x v="4"/>
    <s v="2012-06"/>
    <n v="22"/>
    <n v="32130.98"/>
  </r>
  <r>
    <n v="1"/>
    <n v="1"/>
    <d v="2012-06-08T00:00:00"/>
    <n v="17666"/>
    <b v="0"/>
    <n v="2012"/>
    <x v="4"/>
    <s v="2012-06"/>
    <n v="23"/>
    <n v="35332"/>
  </r>
  <r>
    <n v="1"/>
    <n v="1"/>
    <d v="2012-06-15T00:00:00"/>
    <n v="17558.82"/>
    <b v="0"/>
    <n v="2012"/>
    <x v="4"/>
    <s v="2012-06"/>
    <n v="24"/>
    <n v="35117.64"/>
  </r>
  <r>
    <n v="1"/>
    <n v="1"/>
    <d v="2012-06-22T00:00:00"/>
    <n v="16633.41"/>
    <b v="0"/>
    <n v="2012"/>
    <x v="4"/>
    <s v="2012-06"/>
    <n v="25"/>
    <n v="33266.82"/>
  </r>
  <r>
    <n v="1"/>
    <n v="1"/>
    <d v="2012-06-29T00:00:00"/>
    <n v="15722.82"/>
    <b v="0"/>
    <n v="2012"/>
    <x v="4"/>
    <s v="2012-06"/>
    <n v="26"/>
    <n v="31445.64"/>
  </r>
  <r>
    <n v="1"/>
    <n v="1"/>
    <d v="2012-07-06T00:00:00"/>
    <n v="17823.37"/>
    <b v="0"/>
    <n v="2012"/>
    <x v="5"/>
    <s v="2012-07"/>
    <n v="27"/>
    <n v="35646.74"/>
  </r>
  <r>
    <n v="1"/>
    <n v="1"/>
    <d v="2012-07-13T00:00:00"/>
    <n v="16566.18"/>
    <b v="0"/>
    <n v="2012"/>
    <x v="5"/>
    <s v="2012-07"/>
    <n v="28"/>
    <n v="33132.36"/>
  </r>
  <r>
    <n v="1"/>
    <n v="1"/>
    <d v="2012-07-20T00:00:00"/>
    <n v="16348.06"/>
    <b v="0"/>
    <n v="2012"/>
    <x v="5"/>
    <s v="2012-07"/>
    <n v="29"/>
    <n v="32696.12"/>
  </r>
  <r>
    <n v="1"/>
    <n v="1"/>
    <d v="2012-07-27T00:00:00"/>
    <n v="15731.18"/>
    <b v="0"/>
    <n v="2012"/>
    <x v="5"/>
    <s v="2012-07"/>
    <n v="30"/>
    <n v="31462.36"/>
  </r>
  <r>
    <n v="1"/>
    <n v="1"/>
    <d v="2012-08-03T00:00:00"/>
    <n v="16628.310000000001"/>
    <b v="0"/>
    <n v="2012"/>
    <x v="6"/>
    <s v="2012-08"/>
    <n v="31"/>
    <n v="33256.620000000003"/>
  </r>
  <r>
    <n v="1"/>
    <n v="1"/>
    <d v="2012-08-10T00:00:00"/>
    <n v="16119.92"/>
    <b v="0"/>
    <n v="2012"/>
    <x v="6"/>
    <s v="2012-08"/>
    <n v="32"/>
    <n v="32239.84"/>
  </r>
  <r>
    <n v="1"/>
    <n v="1"/>
    <d v="2012-08-17T00:00:00"/>
    <n v="17330.7"/>
    <b v="0"/>
    <n v="2012"/>
    <x v="6"/>
    <s v="2012-08"/>
    <n v="33"/>
    <n v="34661.4"/>
  </r>
  <r>
    <n v="1"/>
    <n v="1"/>
    <d v="2012-08-24T00:00:00"/>
    <n v="16286.4"/>
    <b v="0"/>
    <n v="2012"/>
    <x v="6"/>
    <s v="2012-08"/>
    <n v="34"/>
    <n v="32572.799999999999"/>
  </r>
  <r>
    <n v="1"/>
    <n v="1"/>
    <d v="2012-08-31T00:00:00"/>
    <n v="16680.240000000002"/>
    <b v="0"/>
    <n v="2012"/>
    <x v="6"/>
    <s v="2012-08"/>
    <n v="35"/>
    <n v="33360.480000000003"/>
  </r>
  <r>
    <n v="1"/>
    <n v="1"/>
    <d v="2012-09-07T00:00:00"/>
    <n v="18322.37"/>
    <b v="1"/>
    <n v="2012"/>
    <x v="7"/>
    <s v="2012-09"/>
    <n v="36"/>
    <n v="36644.74"/>
  </r>
  <r>
    <n v="1"/>
    <n v="1"/>
    <d v="2012-09-14T00:00:00"/>
    <n v="19616.22"/>
    <b v="0"/>
    <n v="2012"/>
    <x v="7"/>
    <s v="2012-09"/>
    <n v="37"/>
    <n v="39232.44"/>
  </r>
  <r>
    <n v="1"/>
    <n v="1"/>
    <d v="2012-09-21T00:00:00"/>
    <n v="19251.5"/>
    <b v="0"/>
    <n v="2012"/>
    <x v="7"/>
    <s v="2012-09"/>
    <n v="38"/>
    <n v="38503"/>
  </r>
  <r>
    <n v="1"/>
    <n v="1"/>
    <d v="2012-09-28T00:00:00"/>
    <n v="18947.810000000001"/>
    <b v="0"/>
    <n v="2012"/>
    <x v="7"/>
    <s v="2012-09"/>
    <n v="39"/>
    <n v="37895.620000000003"/>
  </r>
  <r>
    <n v="1"/>
    <n v="1"/>
    <d v="2012-10-05T00:00:00"/>
    <n v="21904.47"/>
    <b v="0"/>
    <n v="2012"/>
    <x v="8"/>
    <s v="2012-10"/>
    <n v="40"/>
    <n v="43808.94"/>
  </r>
  <r>
    <n v="1"/>
    <n v="1"/>
    <d v="2012-10-12T00:00:00"/>
    <n v="22764.01"/>
    <b v="0"/>
    <n v="2012"/>
    <x v="8"/>
    <s v="2012-10"/>
    <n v="41"/>
    <n v="45528.02"/>
  </r>
  <r>
    <n v="1"/>
    <n v="1"/>
    <d v="2012-10-19T00:00:00"/>
    <n v="24185.27"/>
    <b v="0"/>
    <n v="2012"/>
    <x v="8"/>
    <s v="2012-10"/>
    <n v="42"/>
    <n v="48370.54"/>
  </r>
  <r>
    <n v="1"/>
    <n v="1"/>
    <d v="2012-10-26T00:00:00"/>
    <n v="27390.81"/>
    <b v="0"/>
    <n v="2012"/>
    <x v="8"/>
    <s v="2012-10"/>
    <n v="43"/>
    <n v="54781.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59C60-8C63-4D25-9B22-D915202C8F62}" name="PivotTable4" cacheId="79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F4:AG17" firstHeaderRow="1" firstDataRow="1" firstDataCol="1"/>
  <pivotFields count="10">
    <pivotField compact="0" numFmtId="1" outline="0" showAll="0"/>
    <pivotField compact="0" numFmtId="1" outline="0" showAll="0"/>
    <pivotField compact="0" numFmtId="14" outline="0" showAll="0"/>
    <pivotField dataField="1" compact="0" numFmtId="2" outline="0" showAll="0"/>
    <pivotField compact="0" outline="0" showAll="0"/>
    <pivotField compact="0" outline="0" showAll="0"/>
    <pivotField axis="axisRow" compact="0" outline="0" showAll="0">
      <items count="13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Weekly_Sales" fld="3" subtotal="average" baseField="0" baseItem="0" numFmtId="2"/>
  </dataFields>
  <formats count="6">
    <format dxfId="29">
      <pivotArea type="all" dataOnly="0" outline="0" fieldPosition="0"/>
    </format>
    <format dxfId="30">
      <pivotArea outline="0" collapsedLevelsAreSubtotals="1" fieldPosition="0"/>
    </format>
    <format dxfId="31">
      <pivotArea field="6" type="button" dataOnly="0" labelOnly="1" outline="0" axis="axisRow" fieldPosition="0"/>
    </format>
    <format dxfId="32">
      <pivotArea dataOnly="0" labelOnly="1" outline="0" fieldPosition="0">
        <references count="1">
          <reference field="6" count="0"/>
        </references>
      </pivotArea>
    </format>
    <format dxfId="33">
      <pivotArea dataOnly="0" labelOnly="1" grandRow="1" outline="0" fieldPosition="0"/>
    </format>
    <format dxfId="3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B0D4E-614E-4A47-8303-023E2B67DDFA}" name="PivotTable2" cacheId="79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V4:W38" firstHeaderRow="1" firstDataRow="1" firstDataCol="1"/>
  <pivotFields count="10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h="1" x="33"/>
        <item t="default"/>
      </items>
    </pivotField>
    <pivotField compact="0" outline="0" showAll="0"/>
    <pivotField compact="0" outline="0" showAll="0"/>
  </pivotFields>
  <rowFields count="1">
    <field x="7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Weekly_Sales" fld="3" baseField="0" baseItem="0"/>
  </dataFields>
  <formats count="6">
    <format dxfId="23">
      <pivotArea type="all" dataOnly="0" outline="0" fieldPosition="0"/>
    </format>
    <format dxfId="24">
      <pivotArea outline="0" collapsedLevelsAreSubtotals="1" fieldPosition="0"/>
    </format>
    <format dxfId="25">
      <pivotArea field="7" type="button" dataOnly="0" labelOnly="1" outline="0" axis="axisRow" fieldPosition="0"/>
    </format>
    <format dxfId="26">
      <pivotArea dataOnly="0" labelOnly="1" outline="0" fieldPosition="0">
        <references count="1">
          <reference field="7" count="0"/>
        </references>
      </pivotArea>
    </format>
    <format dxfId="27">
      <pivotArea dataOnly="0" labelOnly="1" grandRow="1" outline="0" fieldPosition="0"/>
    </format>
    <format dxfId="2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CC882F-295E-4449-B93A-0819544159C7}" name="Table2" displayName="Table2" ref="A1:R144" totalsRowShown="0" headerRowDxfId="22" dataDxfId="21" headerRowBorderDxfId="19" tableBorderDxfId="20" totalsRowBorderDxfId="18">
  <autoFilter ref="A1:R144" xr:uid="{B2CC882F-295E-4449-B93A-0819544159C7}"/>
  <tableColumns count="18">
    <tableColumn id="1" xr3:uid="{C640405E-15CB-4201-8999-0829DBB37DB0}" name="Store" dataDxfId="17"/>
    <tableColumn id="2" xr3:uid="{9245647E-0FB2-4A69-BADA-CEF595D4027E}" name="Dept" dataDxfId="16"/>
    <tableColumn id="3" xr3:uid="{CF6AD358-921D-4148-BBC6-610A6F8326C6}" name="Date" dataDxfId="15"/>
    <tableColumn id="4" xr3:uid="{620C0CFA-4DB9-4141-8AB2-1D1FF79E4950}" name="Weekly_Sales" dataDxfId="14"/>
    <tableColumn id="5" xr3:uid="{A92E84AA-6A01-4FEA-A201-A3B560BDACC8}" name="IsHoliday" dataDxfId="13"/>
    <tableColumn id="6" xr3:uid="{22E90047-AEFB-4095-AAB5-21B58A94B46A}" name="Year" dataDxfId="12">
      <calculatedColumnFormula>YEAR(Table2[[#This Row],[Date]])</calculatedColumnFormula>
    </tableColumn>
    <tableColumn id="7" xr3:uid="{4AE1D4B7-C54B-4E0B-8DA8-5B18287CDFC8}" name="Month" dataDxfId="11">
      <calculatedColumnFormula>TEXT(Table2[[#This Row],[Date]],"mmm")</calculatedColumnFormula>
    </tableColumn>
    <tableColumn id="8" xr3:uid="{D18FC952-A251-43D6-83ED-D3085B69D091}" name="Month_Year" dataDxfId="10">
      <calculatedColumnFormula>TEXT(Table2[[#This Row],[Date]],"yyyy-mm")</calculatedColumnFormula>
    </tableColumn>
    <tableColumn id="9" xr3:uid="{DD3F7E22-AFD4-44EF-BAFF-4D77BFF71436}" name="Week_No" dataDxfId="9">
      <calculatedColumnFormula>WEEKNUM(Table2[[#This Row],[Date]])</calculatedColumnFormula>
    </tableColumn>
    <tableColumn id="10" xr3:uid="{0EB8BD42-9B34-4667-8D08-FFC5FBED31D2}" name="Inventory_Level" dataDxfId="8">
      <calculatedColumnFormula>Table2[[#This Row],[Weekly_Sales]]*2</calculatedColumnFormula>
    </tableColumn>
    <tableColumn id="11" xr3:uid="{E7FB8EAF-8520-4C2B-ABDB-4B3669492975}" name="3_Week_Forecast" dataDxfId="7"/>
    <tableColumn id="12" xr3:uid="{43914A85-89B8-49A2-BF35-0120AF1E8C2D}" name="Forecast Error" dataDxfId="6">
      <calculatedColumnFormula>Table2[[#This Row],[Weekly_Sales]]-Table2[[#This Row],[3_Week_Forecast]]</calculatedColumnFormula>
    </tableColumn>
    <tableColumn id="13" xr3:uid="{72D490EA-404C-469D-9B53-D3271C6FBD15}" name="Absolute Percentage Error" dataDxfId="5">
      <calculatedColumnFormula>ABS(Table2[[#This Row],[Forecast Error]]/Table2[[#This Row],[Weekly_Sales]])</calculatedColumnFormula>
    </tableColumn>
    <tableColumn id="14" xr3:uid="{664EAEFF-AD57-4016-9919-4E405233871D}" name="Store_Date_Key" dataDxfId="4">
      <calculatedColumnFormula>Table2[[#This Row],[Store]] &amp; "_" &amp; TEXT(Table2[[#This Row],[Date]],"yyyy-mm-dd")</calculatedColumnFormula>
    </tableColumn>
    <tableColumn id="15" xr3:uid="{75995E68-CBF2-4EC1-AA66-4DACD580ABA0}" name="Temperature" dataDxfId="3">
      <calculatedColumnFormula>VLOOKUP($N2,Features!A2:N144,4,FALSE)</calculatedColumnFormula>
    </tableColumn>
    <tableColumn id="16" xr3:uid="{449ABE72-304C-4FAC-91EA-00F6E9C6DB12}" name="CPI" dataDxfId="2">
      <calculatedColumnFormula>VLOOKUP($N2,Features!A2:N144,11,FALSE)</calculatedColumnFormula>
    </tableColumn>
    <tableColumn id="17" xr3:uid="{B96FE894-E4B9-4DBC-A33B-4BA3B4B800A3}" name="Total Markdown" dataDxfId="1">
      <calculatedColumnFormula>VLOOKUP($N2,Features!A2:N144,14,FALSE)</calculatedColumnFormula>
    </tableColumn>
    <tableColumn id="18" xr3:uid="{6618DB73-D4C9-4CF1-8486-FCC57D07AAFB}" name="Forecast Check" dataDxfId="0">
      <calculatedColumnFormula>IF(Table2[[#This Row],[3_Week_Forecast]]&lt;Table2[[#This Row],[Weekly_Sales]], "Underforecast", "Overforecast")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4"/>
  <sheetViews>
    <sheetView tabSelected="1" topLeftCell="J1" workbookViewId="0">
      <selection activeCell="Q3" sqref="Q3"/>
    </sheetView>
  </sheetViews>
  <sheetFormatPr defaultRowHeight="15"/>
  <cols>
    <col min="1" max="2" width="9.140625" style="3"/>
    <col min="3" max="3" width="19.7109375" style="15" bestFit="1" customWidth="1"/>
    <col min="4" max="4" width="16.5703125" style="1" bestFit="1" customWidth="1"/>
    <col min="5" max="5" width="12.5703125" style="2" bestFit="1" customWidth="1"/>
    <col min="6" max="6" width="11" bestFit="1" customWidth="1"/>
    <col min="7" max="7" width="9.85546875" bestFit="1" customWidth="1"/>
    <col min="8" max="8" width="15.28515625" bestFit="1" customWidth="1"/>
    <col min="9" max="9" width="12.7109375" bestFit="1" customWidth="1"/>
    <col min="10" max="10" width="19" bestFit="1" customWidth="1"/>
    <col min="11" max="11" width="20.28515625" bestFit="1" customWidth="1"/>
    <col min="12" max="12" width="19" customWidth="1"/>
    <col min="13" max="13" width="24.42578125" bestFit="1" customWidth="1"/>
    <col min="14" max="17" width="22.140625" customWidth="1"/>
    <col min="18" max="18" width="19.85546875" customWidth="1"/>
    <col min="20" max="20" width="26.5703125" bestFit="1" customWidth="1"/>
    <col min="22" max="22" width="14.42578125" bestFit="1" customWidth="1"/>
    <col min="23" max="23" width="19.7109375" bestFit="1" customWidth="1"/>
    <col min="24" max="24" width="11" customWidth="1"/>
    <col min="25" max="25" width="28.140625" bestFit="1" customWidth="1"/>
    <col min="32" max="32" width="11.140625" bestFit="1" customWidth="1"/>
    <col min="33" max="33" width="22.7109375" bestFit="1" customWidth="1"/>
    <col min="35" max="35" width="22.7109375" bestFit="1" customWidth="1"/>
  </cols>
  <sheetData>
    <row r="1" spans="1:35" s="40" customFormat="1" ht="33">
      <c r="A1" s="31" t="s">
        <v>0</v>
      </c>
      <c r="B1" s="32" t="s">
        <v>1</v>
      </c>
      <c r="C1" s="33" t="s">
        <v>2</v>
      </c>
      <c r="D1" s="34" t="s">
        <v>3</v>
      </c>
      <c r="E1" s="35" t="s">
        <v>4</v>
      </c>
      <c r="F1" s="36" t="s">
        <v>5</v>
      </c>
      <c r="G1" s="36" t="s">
        <v>6</v>
      </c>
      <c r="H1" s="36" t="s">
        <v>7</v>
      </c>
      <c r="I1" s="37" t="s">
        <v>8</v>
      </c>
      <c r="J1" s="38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8" t="s">
        <v>17</v>
      </c>
    </row>
    <row r="2" spans="1:35">
      <c r="A2" s="17">
        <v>1</v>
      </c>
      <c r="B2" s="18">
        <v>1</v>
      </c>
      <c r="C2" s="19">
        <v>40214</v>
      </c>
      <c r="D2" s="20">
        <v>24924.5</v>
      </c>
      <c r="E2" s="21" t="b">
        <v>0</v>
      </c>
      <c r="F2" s="22">
        <f>YEAR(Table2[[#This Row],[Date]])</f>
        <v>2010</v>
      </c>
      <c r="G2" s="22" t="str">
        <f>TEXT(Table2[[#This Row],[Date]],"mmm")</f>
        <v>Feb</v>
      </c>
      <c r="H2" s="22" t="str">
        <f>TEXT(Table2[[#This Row],[Date]],"yyyy-mm")</f>
        <v>2010-02</v>
      </c>
      <c r="I2" s="22">
        <f>WEEKNUM(Table2[[#This Row],[Date]])</f>
        <v>6</v>
      </c>
      <c r="J2" s="23">
        <f>Table2[[#This Row],[Weekly_Sales]]*2</f>
        <v>49849</v>
      </c>
      <c r="K2" s="24"/>
      <c r="L2" s="25"/>
      <c r="M2" s="24"/>
      <c r="N2" s="24" t="str">
        <f>Table2[[#This Row],[Store]] &amp; "_" &amp; TEXT(Table2[[#This Row],[Date]],"yyyy-mm-dd")</f>
        <v>1_2010-02-05</v>
      </c>
      <c r="O2" s="26">
        <f>VLOOKUP($N2,Features!A2:N144,4,FALSE)</f>
        <v>42.31</v>
      </c>
      <c r="P2" s="27">
        <f>VLOOKUP($N2,Features!A2:N144,11,FALSE)</f>
        <v>211.0963582</v>
      </c>
      <c r="Q2" s="24">
        <f>VLOOKUP($N2,Features!A2:N144,14,FALSE)</f>
        <v>0</v>
      </c>
      <c r="R2" s="24" t="str">
        <f>IF(Table2[[#This Row],[3_Week_Forecast]]&lt;Table2[[#This Row],[Weekly_Sales]], "Underforecast", "Overforecast")</f>
        <v>Underforecast</v>
      </c>
      <c r="T2" s="4" t="s">
        <v>18</v>
      </c>
    </row>
    <row r="3" spans="1:35">
      <c r="A3" s="17">
        <v>1</v>
      </c>
      <c r="B3" s="18">
        <v>1</v>
      </c>
      <c r="C3" s="19">
        <v>40221</v>
      </c>
      <c r="D3" s="20">
        <v>46039.49</v>
      </c>
      <c r="E3" s="21" t="b">
        <v>1</v>
      </c>
      <c r="F3" s="22">
        <f>YEAR(Table2[[#This Row],[Date]])</f>
        <v>2010</v>
      </c>
      <c r="G3" s="22" t="str">
        <f>TEXT(Table2[[#This Row],[Date]],"mmm")</f>
        <v>Feb</v>
      </c>
      <c r="H3" s="22" t="str">
        <f>TEXT(Table2[[#This Row],[Date]],"yyyy-mm")</f>
        <v>2010-02</v>
      </c>
      <c r="I3" s="22">
        <f>WEEKNUM(Table2[[#This Row],[Date]])</f>
        <v>7</v>
      </c>
      <c r="J3" s="23">
        <f>Table2[[#This Row],[Weekly_Sales]]*2</f>
        <v>92078.98</v>
      </c>
      <c r="K3" s="23"/>
      <c r="L3" s="28"/>
      <c r="M3" s="23"/>
      <c r="N3" s="23" t="str">
        <f>Table2[[#This Row],[Store]] &amp; "_" &amp; TEXT(Table2[[#This Row],[Date]],"yyyy-mm-dd")</f>
        <v>1_2010-02-12</v>
      </c>
      <c r="O3" s="23">
        <f>VLOOKUP($N3,Features!A3:N145,4,FALSE)</f>
        <v>38.51</v>
      </c>
      <c r="P3" s="27">
        <f>VLOOKUP($N3,Features!A3:N145,11,FALSE)</f>
        <v>211.2421698</v>
      </c>
      <c r="Q3" s="23">
        <f>VLOOKUP($N3,Features!A3:N145,14,FALSE)</f>
        <v>0</v>
      </c>
      <c r="R3" s="23" t="str">
        <f>IF(Table2[[#This Row],[3_Week_Forecast]]&lt;Table2[[#This Row],[Weekly_Sales]], "Underforecast", "Overforecast")</f>
        <v>Underforecast</v>
      </c>
    </row>
    <row r="4" spans="1:35">
      <c r="A4" s="17">
        <v>1</v>
      </c>
      <c r="B4" s="18">
        <v>1</v>
      </c>
      <c r="C4" s="19">
        <v>40228</v>
      </c>
      <c r="D4" s="20">
        <v>41595.550000000003</v>
      </c>
      <c r="E4" s="21" t="b">
        <v>0</v>
      </c>
      <c r="F4" s="22">
        <f>YEAR(Table2[[#This Row],[Date]])</f>
        <v>2010</v>
      </c>
      <c r="G4" s="22" t="str">
        <f>TEXT(Table2[[#This Row],[Date]],"mmm")</f>
        <v>Feb</v>
      </c>
      <c r="H4" s="22" t="str">
        <f>TEXT(Table2[[#This Row],[Date]],"yyyy-mm")</f>
        <v>2010-02</v>
      </c>
      <c r="I4" s="22">
        <f>WEEKNUM(Table2[[#This Row],[Date]])</f>
        <v>8</v>
      </c>
      <c r="J4" s="23">
        <f>Table2[[#This Row],[Weekly_Sales]]*2</f>
        <v>83191.100000000006</v>
      </c>
      <c r="K4" s="23"/>
      <c r="L4" s="28"/>
      <c r="M4" s="23"/>
      <c r="N4" s="23" t="str">
        <f>Table2[[#This Row],[Store]] &amp; "_" &amp; TEXT(Table2[[#This Row],[Date]],"yyyy-mm-dd")</f>
        <v>1_2010-02-19</v>
      </c>
      <c r="O4" s="23">
        <f>VLOOKUP($N4,Features!A4:N146,4,FALSE)</f>
        <v>39.93</v>
      </c>
      <c r="P4" s="27">
        <f>VLOOKUP($N4,Features!A4:N146,11,FALSE)</f>
        <v>211.2891429</v>
      </c>
      <c r="Q4" s="23">
        <f>VLOOKUP($N4,Features!A4:N146,14,FALSE)</f>
        <v>0</v>
      </c>
      <c r="R4" s="23" t="str">
        <f>IF(Table2[[#This Row],[3_Week_Forecast]]&lt;Table2[[#This Row],[Weekly_Sales]], "Underforecast", "Overforecast")</f>
        <v>Underforecast</v>
      </c>
      <c r="T4" s="5" t="s">
        <v>19</v>
      </c>
      <c r="V4" s="7" t="s">
        <v>7</v>
      </c>
      <c r="W4" s="8" t="s">
        <v>20</v>
      </c>
      <c r="Y4" t="s">
        <v>21</v>
      </c>
      <c r="AF4" s="7" t="s">
        <v>6</v>
      </c>
      <c r="AG4" s="8" t="s">
        <v>22</v>
      </c>
      <c r="AI4" t="s">
        <v>23</v>
      </c>
    </row>
    <row r="5" spans="1:35">
      <c r="A5" s="17">
        <v>1</v>
      </c>
      <c r="B5" s="18">
        <v>1</v>
      </c>
      <c r="C5" s="19">
        <v>40235</v>
      </c>
      <c r="D5" s="20">
        <v>19403.54</v>
      </c>
      <c r="E5" s="21" t="b">
        <v>0</v>
      </c>
      <c r="F5" s="22">
        <f>YEAR(Table2[[#This Row],[Date]])</f>
        <v>2010</v>
      </c>
      <c r="G5" s="22" t="str">
        <f>TEXT(Table2[[#This Row],[Date]],"mmm")</f>
        <v>Feb</v>
      </c>
      <c r="H5" s="22" t="str">
        <f>TEXT(Table2[[#This Row],[Date]],"yyyy-mm")</f>
        <v>2010-02</v>
      </c>
      <c r="I5" s="22">
        <f>WEEKNUM(Table2[[#This Row],[Date]])</f>
        <v>9</v>
      </c>
      <c r="J5" s="23">
        <f>Table2[[#This Row],[Weekly_Sales]]*2</f>
        <v>38807.08</v>
      </c>
      <c r="K5" s="28">
        <f>AVERAGE(D2:D4)</f>
        <v>37519.846666666665</v>
      </c>
      <c r="L5" s="28">
        <f>Table2[[#This Row],[Weekly_Sales]]-Table2[[#This Row],[3_Week_Forecast]]</f>
        <v>-18116.306666666664</v>
      </c>
      <c r="M5" s="28">
        <f>ABS(Table2[[#This Row],[Forecast Error]]/Table2[[#This Row],[Weekly_Sales]])*100</f>
        <v>93.36598716866439</v>
      </c>
      <c r="N5" s="23" t="str">
        <f>Table2[[#This Row],[Store]] &amp; "_" &amp; TEXT(Table2[[#This Row],[Date]],"yyyy-mm-dd")</f>
        <v>1_2010-02-26</v>
      </c>
      <c r="O5" s="23">
        <f>VLOOKUP($N5,Features!A5:N147,4,FALSE)</f>
        <v>46.63</v>
      </c>
      <c r="P5" s="27">
        <f>VLOOKUP($N5,Features!A5:N147,11,FALSE)</f>
        <v>211.31964289999999</v>
      </c>
      <c r="Q5" s="23">
        <f>VLOOKUP($N5,Features!A5:N147,14,FALSE)</f>
        <v>0</v>
      </c>
      <c r="R5" s="23" t="str">
        <f>IF(Table2[[#This Row],[3_Week_Forecast]]&lt;Table2[[#This Row],[Weekly_Sales]], "Underforecast", "Overforecast")</f>
        <v>Overforecast</v>
      </c>
      <c r="T5" s="1">
        <f>SUM(Weekly_Sales)</f>
        <v>3219405.1800000025</v>
      </c>
      <c r="V5" s="9" t="s">
        <v>24</v>
      </c>
      <c r="W5" s="10">
        <v>131963.07999999999</v>
      </c>
      <c r="AF5" s="9" t="s">
        <v>25</v>
      </c>
      <c r="AG5" s="13">
        <v>17418.9925</v>
      </c>
    </row>
    <row r="6" spans="1:35">
      <c r="A6" s="17">
        <v>1</v>
      </c>
      <c r="B6" s="18">
        <v>1</v>
      </c>
      <c r="C6" s="19">
        <v>40242</v>
      </c>
      <c r="D6" s="20">
        <v>21827.9</v>
      </c>
      <c r="E6" s="21" t="b">
        <v>0</v>
      </c>
      <c r="F6" s="22">
        <f>YEAR(Table2[[#This Row],[Date]])</f>
        <v>2010</v>
      </c>
      <c r="G6" s="22" t="str">
        <f>TEXT(Table2[[#This Row],[Date]],"mmm")</f>
        <v>Mar</v>
      </c>
      <c r="H6" s="22" t="str">
        <f>TEXT(Table2[[#This Row],[Date]],"yyyy-mm")</f>
        <v>2010-03</v>
      </c>
      <c r="I6" s="22">
        <f>WEEKNUM(Table2[[#This Row],[Date]])</f>
        <v>10</v>
      </c>
      <c r="J6" s="23">
        <f>Table2[[#This Row],[Weekly_Sales]]*2</f>
        <v>43655.8</v>
      </c>
      <c r="K6" s="28">
        <f t="shared" ref="K6:K69" si="0">AVERAGE(D3:D5)</f>
        <v>35679.526666666672</v>
      </c>
      <c r="L6" s="28">
        <f>Table2[[#This Row],[Weekly_Sales]]-Table2[[#This Row],[3_Week_Forecast]]</f>
        <v>-13851.626666666671</v>
      </c>
      <c r="M6" s="28">
        <f>ABS(Table2[[#This Row],[Forecast Error]]/Table2[[#This Row],[Weekly_Sales]])*100</f>
        <v>63.458356812458682</v>
      </c>
      <c r="N6" s="23" t="str">
        <f>Table2[[#This Row],[Store]] &amp; "_" &amp; TEXT(Table2[[#This Row],[Date]],"yyyy-mm-dd")</f>
        <v>1_2010-03-05</v>
      </c>
      <c r="O6" s="23">
        <f>VLOOKUP($N6,Features!A6:N148,4,FALSE)</f>
        <v>46.5</v>
      </c>
      <c r="P6" s="27">
        <f>VLOOKUP($N6,Features!A6:N148,11,FALSE)</f>
        <v>211.35014290000001</v>
      </c>
      <c r="Q6" s="23">
        <f>VLOOKUP($N6,Features!A6:N148,14,FALSE)</f>
        <v>0</v>
      </c>
      <c r="R6" s="23" t="str">
        <f>IF(Table2[[#This Row],[3_Week_Forecast]]&lt;Table2[[#This Row],[Weekly_Sales]], "Underforecast", "Overforecast")</f>
        <v>Overforecast</v>
      </c>
      <c r="V6" s="9" t="s">
        <v>26</v>
      </c>
      <c r="W6" s="10">
        <v>91237.14</v>
      </c>
      <c r="AF6" s="9" t="s">
        <v>27</v>
      </c>
      <c r="AG6" s="13">
        <v>32700.750833333335</v>
      </c>
    </row>
    <row r="7" spans="1:35">
      <c r="A7" s="17">
        <v>1</v>
      </c>
      <c r="B7" s="18">
        <v>1</v>
      </c>
      <c r="C7" s="19">
        <v>40249</v>
      </c>
      <c r="D7" s="20">
        <v>21043.39</v>
      </c>
      <c r="E7" s="21" t="b">
        <v>0</v>
      </c>
      <c r="F7" s="22">
        <f>YEAR(Table2[[#This Row],[Date]])</f>
        <v>2010</v>
      </c>
      <c r="G7" s="22" t="str">
        <f>TEXT(Table2[[#This Row],[Date]],"mmm")</f>
        <v>Mar</v>
      </c>
      <c r="H7" s="22" t="str">
        <f>TEXT(Table2[[#This Row],[Date]],"yyyy-mm")</f>
        <v>2010-03</v>
      </c>
      <c r="I7" s="22">
        <f>WEEKNUM(Table2[[#This Row],[Date]])</f>
        <v>11</v>
      </c>
      <c r="J7" s="23">
        <f>Table2[[#This Row],[Weekly_Sales]]*2</f>
        <v>42086.78</v>
      </c>
      <c r="K7" s="28">
        <f t="shared" si="0"/>
        <v>27608.99666666667</v>
      </c>
      <c r="L7" s="28">
        <f>Table2[[#This Row],[Weekly_Sales]]-Table2[[#This Row],[3_Week_Forecast]]</f>
        <v>-6565.6066666666702</v>
      </c>
      <c r="M7" s="28">
        <f>ABS(Table2[[#This Row],[Forecast Error]]/Table2[[#This Row],[Weekly_Sales]])*100</f>
        <v>31.200327830576114</v>
      </c>
      <c r="N7" s="23" t="str">
        <f>Table2[[#This Row],[Store]] &amp; "_" &amp; TEXT(Table2[[#This Row],[Date]],"yyyy-mm-dd")</f>
        <v>1_2010-03-12</v>
      </c>
      <c r="O7" s="23">
        <f>VLOOKUP($N7,Features!A7:N149,4,FALSE)</f>
        <v>57.79</v>
      </c>
      <c r="P7" s="27">
        <f>VLOOKUP($N7,Features!A7:N149,11,FALSE)</f>
        <v>211.3806429</v>
      </c>
      <c r="Q7" s="23">
        <f>VLOOKUP($N7,Features!A7:N149,14,FALSE)</f>
        <v>0</v>
      </c>
      <c r="R7" s="23" t="str">
        <f>IF(Table2[[#This Row],[3_Week_Forecast]]&lt;Table2[[#This Row],[Weekly_Sales]], "Underforecast", "Overforecast")</f>
        <v>Overforecast</v>
      </c>
      <c r="T7" s="5" t="s">
        <v>28</v>
      </c>
      <c r="V7" s="9" t="s">
        <v>29</v>
      </c>
      <c r="W7" s="10">
        <v>150516.76</v>
      </c>
      <c r="AF7" s="9" t="s">
        <v>30</v>
      </c>
      <c r="AG7" s="13">
        <v>22210.847692307692</v>
      </c>
    </row>
    <row r="8" spans="1:35">
      <c r="A8" s="17">
        <v>1</v>
      </c>
      <c r="B8" s="18">
        <v>1</v>
      </c>
      <c r="C8" s="19">
        <v>40256</v>
      </c>
      <c r="D8" s="20">
        <v>22136.639999999999</v>
      </c>
      <c r="E8" s="21" t="b">
        <v>0</v>
      </c>
      <c r="F8" s="22">
        <f>YEAR(Table2[[#This Row],[Date]])</f>
        <v>2010</v>
      </c>
      <c r="G8" s="22" t="str">
        <f>TEXT(Table2[[#This Row],[Date]],"mmm")</f>
        <v>Mar</v>
      </c>
      <c r="H8" s="22" t="str">
        <f>TEXT(Table2[[#This Row],[Date]],"yyyy-mm")</f>
        <v>2010-03</v>
      </c>
      <c r="I8" s="22">
        <f>WEEKNUM(Table2[[#This Row],[Date]])</f>
        <v>12</v>
      </c>
      <c r="J8" s="23">
        <f>Table2[[#This Row],[Weekly_Sales]]*2</f>
        <v>44273.279999999999</v>
      </c>
      <c r="K8" s="28">
        <f t="shared" si="0"/>
        <v>20758.276666666668</v>
      </c>
      <c r="L8" s="28">
        <f>Table2[[#This Row],[Weekly_Sales]]-Table2[[#This Row],[3_Week_Forecast]]</f>
        <v>1378.363333333331</v>
      </c>
      <c r="M8" s="28">
        <f>ABS(Table2[[#This Row],[Forecast Error]]/Table2[[#This Row],[Weekly_Sales]])*100</f>
        <v>6.2266149394548176</v>
      </c>
      <c r="N8" s="23" t="str">
        <f>Table2[[#This Row],[Store]] &amp; "_" &amp; TEXT(Table2[[#This Row],[Date]],"yyyy-mm-dd")</f>
        <v>1_2010-03-19</v>
      </c>
      <c r="O8" s="23">
        <f>VLOOKUP($N8,Features!A8:N150,4,FALSE)</f>
        <v>54.58</v>
      </c>
      <c r="P8" s="27">
        <f>VLOOKUP($N8,Features!A8:N150,11,FALSE)</f>
        <v>211.21563499999999</v>
      </c>
      <c r="Q8" s="23">
        <f>VLOOKUP($N8,Features!A8:N150,14,FALSE)</f>
        <v>0</v>
      </c>
      <c r="R8" s="23" t="str">
        <f>IF(Table2[[#This Row],[3_Week_Forecast]]&lt;Table2[[#This Row],[Weekly_Sales]], "Underforecast", "Overforecast")</f>
        <v>Underforecast</v>
      </c>
      <c r="T8" s="1">
        <f>AVERAGE(Weekly_Sales)</f>
        <v>22513.322937062956</v>
      </c>
      <c r="V8" s="9" t="s">
        <v>31</v>
      </c>
      <c r="W8" s="10">
        <v>66694.149999999994</v>
      </c>
      <c r="AF8" s="9" t="s">
        <v>32</v>
      </c>
      <c r="AG8" s="13">
        <v>31512.416428571429</v>
      </c>
    </row>
    <row r="9" spans="1:35">
      <c r="A9" s="17">
        <v>1</v>
      </c>
      <c r="B9" s="18">
        <v>1</v>
      </c>
      <c r="C9" s="19">
        <v>40263</v>
      </c>
      <c r="D9" s="20">
        <v>26229.21</v>
      </c>
      <c r="E9" s="21" t="b">
        <v>0</v>
      </c>
      <c r="F9" s="22">
        <f>YEAR(Table2[[#This Row],[Date]])</f>
        <v>2010</v>
      </c>
      <c r="G9" s="22" t="str">
        <f>TEXT(Table2[[#This Row],[Date]],"mmm")</f>
        <v>Mar</v>
      </c>
      <c r="H9" s="22" t="str">
        <f>TEXT(Table2[[#This Row],[Date]],"yyyy-mm")</f>
        <v>2010-03</v>
      </c>
      <c r="I9" s="22">
        <f>WEEKNUM(Table2[[#This Row],[Date]])</f>
        <v>13</v>
      </c>
      <c r="J9" s="23">
        <f>Table2[[#This Row],[Weekly_Sales]]*2</f>
        <v>52458.42</v>
      </c>
      <c r="K9" s="28">
        <f t="shared" si="0"/>
        <v>21669.31</v>
      </c>
      <c r="L9" s="28">
        <f>Table2[[#This Row],[Weekly_Sales]]-Table2[[#This Row],[3_Week_Forecast]]</f>
        <v>4559.8999999999978</v>
      </c>
      <c r="M9" s="28">
        <f>ABS(Table2[[#This Row],[Forecast Error]]/Table2[[#This Row],[Weekly_Sales]])*100</f>
        <v>17.384816393631368</v>
      </c>
      <c r="N9" s="23" t="str">
        <f>Table2[[#This Row],[Store]] &amp; "_" &amp; TEXT(Table2[[#This Row],[Date]],"yyyy-mm-dd")</f>
        <v>1_2010-03-26</v>
      </c>
      <c r="O9" s="23">
        <f>VLOOKUP($N9,Features!A9:N151,4,FALSE)</f>
        <v>51.45</v>
      </c>
      <c r="P9" s="27">
        <f>VLOOKUP($N9,Features!A9:N151,11,FALSE)</f>
        <v>211.01804240000001</v>
      </c>
      <c r="Q9" s="23">
        <f>VLOOKUP($N9,Features!A9:N151,14,FALSE)</f>
        <v>0</v>
      </c>
      <c r="R9" s="23" t="str">
        <f>IF(Table2[[#This Row],[3_Week_Forecast]]&lt;Table2[[#This Row],[Weekly_Sales]], "Underforecast", "Overforecast")</f>
        <v>Underforecast</v>
      </c>
      <c r="V9" s="9" t="s">
        <v>33</v>
      </c>
      <c r="W9" s="10">
        <v>66740.7</v>
      </c>
      <c r="AF9" s="9" t="s">
        <v>34</v>
      </c>
      <c r="AG9" s="13">
        <v>17144.904166666667</v>
      </c>
    </row>
    <row r="10" spans="1:35">
      <c r="A10" s="17">
        <v>1</v>
      </c>
      <c r="B10" s="18">
        <v>1</v>
      </c>
      <c r="C10" s="19">
        <v>40270</v>
      </c>
      <c r="D10" s="20">
        <v>57258.43</v>
      </c>
      <c r="E10" s="21" t="b">
        <v>0</v>
      </c>
      <c r="F10" s="22">
        <f>YEAR(Table2[[#This Row],[Date]])</f>
        <v>2010</v>
      </c>
      <c r="G10" s="22" t="str">
        <f>TEXT(Table2[[#This Row],[Date]],"mmm")</f>
        <v>Apr</v>
      </c>
      <c r="H10" s="22" t="str">
        <f>TEXT(Table2[[#This Row],[Date]],"yyyy-mm")</f>
        <v>2010-04</v>
      </c>
      <c r="I10" s="22">
        <f>WEEKNUM(Table2[[#This Row],[Date]])</f>
        <v>14</v>
      </c>
      <c r="J10" s="23">
        <f>Table2[[#This Row],[Weekly_Sales]]*2</f>
        <v>114516.86</v>
      </c>
      <c r="K10" s="28">
        <f t="shared" si="0"/>
        <v>23136.41333333333</v>
      </c>
      <c r="L10" s="28">
        <f>Table2[[#This Row],[Weekly_Sales]]-Table2[[#This Row],[3_Week_Forecast]]</f>
        <v>34122.01666666667</v>
      </c>
      <c r="M10" s="28">
        <f>ABS(Table2[[#This Row],[Forecast Error]]/Table2[[#This Row],[Weekly_Sales]])*100</f>
        <v>59.593000832657609</v>
      </c>
      <c r="N10" s="23" t="str">
        <f>Table2[[#This Row],[Store]] &amp; "_" &amp; TEXT(Table2[[#This Row],[Date]],"yyyy-mm-dd")</f>
        <v>1_2010-04-02</v>
      </c>
      <c r="O10" s="23">
        <f>VLOOKUP($N10,Features!A10:N152,4,FALSE)</f>
        <v>62.27</v>
      </c>
      <c r="P10" s="27">
        <f>VLOOKUP($N10,Features!A10:N152,11,FALSE)</f>
        <v>210.8204499</v>
      </c>
      <c r="Q10" s="23">
        <f>VLOOKUP($N10,Features!A10:N152,14,FALSE)</f>
        <v>0</v>
      </c>
      <c r="R10" s="23" t="str">
        <f>IF(Table2[[#This Row],[3_Week_Forecast]]&lt;Table2[[#This Row],[Weekly_Sales]], "Underforecast", "Overforecast")</f>
        <v>Underforecast</v>
      </c>
      <c r="T10" s="5" t="s">
        <v>35</v>
      </c>
      <c r="V10" s="9" t="s">
        <v>36</v>
      </c>
      <c r="W10" s="10">
        <v>81915.00999999998</v>
      </c>
      <c r="AF10" s="9" t="s">
        <v>37</v>
      </c>
      <c r="AG10" s="13">
        <v>16412.754615384616</v>
      </c>
    </row>
    <row r="11" spans="1:35">
      <c r="A11" s="17">
        <v>1</v>
      </c>
      <c r="B11" s="18">
        <v>1</v>
      </c>
      <c r="C11" s="19">
        <v>40277</v>
      </c>
      <c r="D11" s="20">
        <v>42960.91</v>
      </c>
      <c r="E11" s="21" t="b">
        <v>0</v>
      </c>
      <c r="F11" s="22">
        <f>YEAR(Table2[[#This Row],[Date]])</f>
        <v>2010</v>
      </c>
      <c r="G11" s="22" t="str">
        <f>TEXT(Table2[[#This Row],[Date]],"mmm")</f>
        <v>Apr</v>
      </c>
      <c r="H11" s="22" t="str">
        <f>TEXT(Table2[[#This Row],[Date]],"yyyy-mm")</f>
        <v>2010-04</v>
      </c>
      <c r="I11" s="22">
        <f>WEEKNUM(Table2[[#This Row],[Date]])</f>
        <v>15</v>
      </c>
      <c r="J11" s="23">
        <f>Table2[[#This Row],[Weekly_Sales]]*2</f>
        <v>85921.82</v>
      </c>
      <c r="K11" s="28">
        <f t="shared" si="0"/>
        <v>35208.093333333331</v>
      </c>
      <c r="L11" s="28">
        <f>Table2[[#This Row],[Weekly_Sales]]-Table2[[#This Row],[3_Week_Forecast]]</f>
        <v>7752.816666666673</v>
      </c>
      <c r="M11" s="28">
        <f>ABS(Table2[[#This Row],[Forecast Error]]/Table2[[#This Row],[Weekly_Sales]])*100</f>
        <v>18.046211466811744</v>
      </c>
      <c r="N11" s="23" t="str">
        <f>Table2[[#This Row],[Store]] &amp; "_" &amp; TEXT(Table2[[#This Row],[Date]],"yyyy-mm-dd")</f>
        <v>1_2010-04-09</v>
      </c>
      <c r="O11" s="23">
        <f>VLOOKUP($N11,Features!A11:N153,4,FALSE)</f>
        <v>65.86</v>
      </c>
      <c r="P11" s="27">
        <f>VLOOKUP($N11,Features!A11:N153,11,FALSE)</f>
        <v>210.62285739999999</v>
      </c>
      <c r="Q11" s="23">
        <f>VLOOKUP($N11,Features!A11:N153,14,FALSE)</f>
        <v>0</v>
      </c>
      <c r="R11" s="23" t="str">
        <f>IF(Table2[[#This Row],[3_Week_Forecast]]&lt;Table2[[#This Row],[Weekly_Sales]], "Underforecast", "Overforecast")</f>
        <v>Underforecast</v>
      </c>
      <c r="T11" s="1">
        <f>AVERAGE(Inventory)</f>
        <v>45026.645874125912</v>
      </c>
      <c r="V11" s="9" t="s">
        <v>38</v>
      </c>
      <c r="W11" s="10">
        <v>64578.81</v>
      </c>
      <c r="AF11" s="9" t="s">
        <v>39</v>
      </c>
      <c r="AG11" s="13">
        <v>16231.430714285712</v>
      </c>
    </row>
    <row r="12" spans="1:35">
      <c r="A12" s="17">
        <v>1</v>
      </c>
      <c r="B12" s="18">
        <v>1</v>
      </c>
      <c r="C12" s="19">
        <v>40284</v>
      </c>
      <c r="D12" s="20">
        <v>17596.96</v>
      </c>
      <c r="E12" s="21" t="b">
        <v>0</v>
      </c>
      <c r="F12" s="22">
        <f>YEAR(Table2[[#This Row],[Date]])</f>
        <v>2010</v>
      </c>
      <c r="G12" s="22" t="str">
        <f>TEXT(Table2[[#This Row],[Date]],"mmm")</f>
        <v>Apr</v>
      </c>
      <c r="H12" s="22" t="str">
        <f>TEXT(Table2[[#This Row],[Date]],"yyyy-mm")</f>
        <v>2010-04</v>
      </c>
      <c r="I12" s="22">
        <f>WEEKNUM(Table2[[#This Row],[Date]])</f>
        <v>16</v>
      </c>
      <c r="J12" s="23">
        <f>Table2[[#This Row],[Weekly_Sales]]*2</f>
        <v>35193.919999999998</v>
      </c>
      <c r="K12" s="28">
        <f t="shared" si="0"/>
        <v>42149.51666666667</v>
      </c>
      <c r="L12" s="28">
        <f>Table2[[#This Row],[Weekly_Sales]]-Table2[[#This Row],[3_Week_Forecast]]</f>
        <v>-24552.556666666671</v>
      </c>
      <c r="M12" s="28">
        <f>ABS(Table2[[#This Row],[Forecast Error]]/Table2[[#This Row],[Weekly_Sales]])*100</f>
        <v>139.52726304240431</v>
      </c>
      <c r="N12" s="23" t="str">
        <f>Table2[[#This Row],[Store]] &amp; "_" &amp; TEXT(Table2[[#This Row],[Date]],"yyyy-mm-dd")</f>
        <v>1_2010-04-16</v>
      </c>
      <c r="O12" s="23">
        <f>VLOOKUP($N12,Features!A12:N154,4,FALSE)</f>
        <v>66.319999999999993</v>
      </c>
      <c r="P12" s="27">
        <f>VLOOKUP($N12,Features!A12:N154,11,FALSE)</f>
        <v>210.48869999999999</v>
      </c>
      <c r="Q12" s="23">
        <f>VLOOKUP($N12,Features!A12:N154,14,FALSE)</f>
        <v>0</v>
      </c>
      <c r="R12" s="23" t="str">
        <f>IF(Table2[[#This Row],[3_Week_Forecast]]&lt;Table2[[#This Row],[Weekly_Sales]], "Underforecast", "Overforecast")</f>
        <v>Overforecast</v>
      </c>
      <c r="V12" s="9" t="s">
        <v>40</v>
      </c>
      <c r="W12" s="10">
        <v>71913.27</v>
      </c>
      <c r="AF12" s="9" t="s">
        <v>41</v>
      </c>
      <c r="AG12" s="13">
        <v>15898.948461538463</v>
      </c>
    </row>
    <row r="13" spans="1:35">
      <c r="A13" s="17">
        <v>1</v>
      </c>
      <c r="B13" s="18">
        <v>1</v>
      </c>
      <c r="C13" s="19">
        <v>40291</v>
      </c>
      <c r="D13" s="20">
        <v>16145.35</v>
      </c>
      <c r="E13" s="21" t="b">
        <v>0</v>
      </c>
      <c r="F13" s="22">
        <f>YEAR(Table2[[#This Row],[Date]])</f>
        <v>2010</v>
      </c>
      <c r="G13" s="22" t="str">
        <f>TEXT(Table2[[#This Row],[Date]],"mmm")</f>
        <v>Apr</v>
      </c>
      <c r="H13" s="22" t="str">
        <f>TEXT(Table2[[#This Row],[Date]],"yyyy-mm")</f>
        <v>2010-04</v>
      </c>
      <c r="I13" s="22">
        <f>WEEKNUM(Table2[[#This Row],[Date]])</f>
        <v>17</v>
      </c>
      <c r="J13" s="23">
        <f>Table2[[#This Row],[Weekly_Sales]]*2</f>
        <v>32290.7</v>
      </c>
      <c r="K13" s="28">
        <f>AVERAGE(D10:D12)</f>
        <v>39272.1</v>
      </c>
      <c r="L13" s="28">
        <f>Table2[[#This Row],[Weekly_Sales]]-Table2[[#This Row],[3_Week_Forecast]]</f>
        <v>-23126.75</v>
      </c>
      <c r="M13" s="28">
        <f>ABS(Table2[[#This Row],[Forecast Error]]/Table2[[#This Row],[Weekly_Sales]])*100</f>
        <v>143.24093314793421</v>
      </c>
      <c r="N13" s="23" t="str">
        <f>Table2[[#This Row],[Store]] &amp; "_" &amp; TEXT(Table2[[#This Row],[Date]],"yyyy-mm-dd")</f>
        <v>1_2010-04-23</v>
      </c>
      <c r="O13" s="23">
        <f>VLOOKUP($N13,Features!A13:N155,4,FALSE)</f>
        <v>64.84</v>
      </c>
      <c r="P13" s="27">
        <f>VLOOKUP($N13,Features!A13:N155,11,FALSE)</f>
        <v>210.43912280000001</v>
      </c>
      <c r="Q13" s="23">
        <f>VLOOKUP($N13,Features!A13:N155,14,FALSE)</f>
        <v>0</v>
      </c>
      <c r="R13" s="23" t="str">
        <f>IF(Table2[[#This Row],[3_Week_Forecast]]&lt;Table2[[#This Row],[Weekly_Sales]], "Underforecast", "Overforecast")</f>
        <v>Overforecast</v>
      </c>
      <c r="T13" s="5" t="s">
        <v>42</v>
      </c>
      <c r="V13" s="9" t="s">
        <v>43</v>
      </c>
      <c r="W13" s="10">
        <v>134644.53</v>
      </c>
      <c r="AF13" s="9" t="s">
        <v>44</v>
      </c>
      <c r="AG13" s="13">
        <v>18139.044615384613</v>
      </c>
    </row>
    <row r="14" spans="1:35">
      <c r="A14" s="17">
        <v>1</v>
      </c>
      <c r="B14" s="18">
        <v>1</v>
      </c>
      <c r="C14" s="19">
        <v>40298</v>
      </c>
      <c r="D14" s="20">
        <v>16555.11</v>
      </c>
      <c r="E14" s="21" t="b">
        <v>0</v>
      </c>
      <c r="F14" s="22">
        <f>YEAR(Table2[[#This Row],[Date]])</f>
        <v>2010</v>
      </c>
      <c r="G14" s="22" t="str">
        <f>TEXT(Table2[[#This Row],[Date]],"mmm")</f>
        <v>Apr</v>
      </c>
      <c r="H14" s="22" t="str">
        <f>TEXT(Table2[[#This Row],[Date]],"yyyy-mm")</f>
        <v>2010-04</v>
      </c>
      <c r="I14" s="22">
        <f>WEEKNUM(Table2[[#This Row],[Date]])</f>
        <v>18</v>
      </c>
      <c r="J14" s="23">
        <f>Table2[[#This Row],[Weekly_Sales]]*2</f>
        <v>33110.22</v>
      </c>
      <c r="K14" s="28">
        <f t="shared" si="0"/>
        <v>25567.74</v>
      </c>
      <c r="L14" s="28">
        <f>Table2[[#This Row],[Weekly_Sales]]-Table2[[#This Row],[3_Week_Forecast]]</f>
        <v>-9012.630000000001</v>
      </c>
      <c r="M14" s="28">
        <f>ABS(Table2[[#This Row],[Forecast Error]]/Table2[[#This Row],[Weekly_Sales]])*100</f>
        <v>54.440169832758592</v>
      </c>
      <c r="N14" s="23" t="str">
        <f>Table2[[#This Row],[Store]] &amp; "_" &amp; TEXT(Table2[[#This Row],[Date]],"yyyy-mm-dd")</f>
        <v>1_2010-04-30</v>
      </c>
      <c r="O14" s="23">
        <f>VLOOKUP($N14,Features!A14:N156,4,FALSE)</f>
        <v>67.41</v>
      </c>
      <c r="P14" s="27">
        <f>VLOOKUP($N14,Features!A14:N156,11,FALSE)</f>
        <v>210.38954559999999</v>
      </c>
      <c r="Q14" s="23">
        <f>VLOOKUP($N14,Features!A14:N156,14,FALSE)</f>
        <v>0</v>
      </c>
      <c r="R14" s="23" t="str">
        <f>IF(Table2[[#This Row],[3_Week_Forecast]]&lt;Table2[[#This Row],[Weekly_Sales]], "Underforecast", "Overforecast")</f>
        <v>Overforecast</v>
      </c>
      <c r="T14">
        <f>T5/T11</f>
        <v>71.5</v>
      </c>
      <c r="V14" s="9" t="s">
        <v>45</v>
      </c>
      <c r="W14" s="10">
        <v>92161.4</v>
      </c>
      <c r="AF14" s="9" t="s">
        <v>46</v>
      </c>
      <c r="AG14" s="13">
        <v>25361.224615384614</v>
      </c>
    </row>
    <row r="15" spans="1:35">
      <c r="A15" s="17">
        <v>1</v>
      </c>
      <c r="B15" s="18">
        <v>1</v>
      </c>
      <c r="C15" s="19">
        <v>40305</v>
      </c>
      <c r="D15" s="20">
        <v>17413.939999999999</v>
      </c>
      <c r="E15" s="21" t="b">
        <v>0</v>
      </c>
      <c r="F15" s="22">
        <f>YEAR(Table2[[#This Row],[Date]])</f>
        <v>2010</v>
      </c>
      <c r="G15" s="22" t="str">
        <f>TEXT(Table2[[#This Row],[Date]],"mmm")</f>
        <v>May</v>
      </c>
      <c r="H15" s="22" t="str">
        <f>TEXT(Table2[[#This Row],[Date]],"yyyy-mm")</f>
        <v>2010-05</v>
      </c>
      <c r="I15" s="22">
        <f>WEEKNUM(Table2[[#This Row],[Date]])</f>
        <v>19</v>
      </c>
      <c r="J15" s="23">
        <f>Table2[[#This Row],[Weekly_Sales]]*2</f>
        <v>34827.879999999997</v>
      </c>
      <c r="K15" s="28">
        <f t="shared" si="0"/>
        <v>16765.806666666667</v>
      </c>
      <c r="L15" s="28">
        <f>Table2[[#This Row],[Weekly_Sales]]-Table2[[#This Row],[3_Week_Forecast]]</f>
        <v>648.13333333333139</v>
      </c>
      <c r="M15" s="28">
        <f>ABS(Table2[[#This Row],[Forecast Error]]/Table2[[#This Row],[Weekly_Sales]])*100</f>
        <v>3.7219223985687986</v>
      </c>
      <c r="N15" s="23" t="str">
        <f>Table2[[#This Row],[Store]] &amp; "_" &amp; TEXT(Table2[[#This Row],[Date]],"yyyy-mm-dd")</f>
        <v>1_2010-05-07</v>
      </c>
      <c r="O15" s="23">
        <f>VLOOKUP($N15,Features!A15:N157,4,FALSE)</f>
        <v>72.55</v>
      </c>
      <c r="P15" s="27">
        <f>VLOOKUP($N15,Features!A15:N157,11,FALSE)</f>
        <v>210.3399684</v>
      </c>
      <c r="Q15" s="23">
        <f>VLOOKUP($N15,Features!A15:N157,14,FALSE)</f>
        <v>0</v>
      </c>
      <c r="R15" s="23" t="str">
        <f>IF(Table2[[#This Row],[3_Week_Forecast]]&lt;Table2[[#This Row],[Weekly_Sales]], "Underforecast", "Overforecast")</f>
        <v>Underforecast</v>
      </c>
      <c r="T15" s="5"/>
      <c r="V15" s="9" t="s">
        <v>47</v>
      </c>
      <c r="W15" s="10">
        <v>173983.88</v>
      </c>
      <c r="AF15" s="9" t="s">
        <v>48</v>
      </c>
      <c r="AG15" s="13">
        <v>23837.36375</v>
      </c>
    </row>
    <row r="16" spans="1:35">
      <c r="A16" s="17">
        <v>1</v>
      </c>
      <c r="B16" s="18">
        <v>1</v>
      </c>
      <c r="C16" s="19">
        <v>40312</v>
      </c>
      <c r="D16" s="20">
        <v>18926.740000000002</v>
      </c>
      <c r="E16" s="21" t="b">
        <v>0</v>
      </c>
      <c r="F16" s="22">
        <f>YEAR(Table2[[#This Row],[Date]])</f>
        <v>2010</v>
      </c>
      <c r="G16" s="22" t="str">
        <f>TEXT(Table2[[#This Row],[Date]],"mmm")</f>
        <v>May</v>
      </c>
      <c r="H16" s="22" t="str">
        <f>TEXT(Table2[[#This Row],[Date]],"yyyy-mm")</f>
        <v>2010-05</v>
      </c>
      <c r="I16" s="22">
        <f>WEEKNUM(Table2[[#This Row],[Date]])</f>
        <v>20</v>
      </c>
      <c r="J16" s="23">
        <f>Table2[[#This Row],[Weekly_Sales]]*2</f>
        <v>37853.480000000003</v>
      </c>
      <c r="K16" s="28">
        <f t="shared" si="0"/>
        <v>16704.8</v>
      </c>
      <c r="L16" s="28">
        <f>Table2[[#This Row],[Weekly_Sales]]-Table2[[#This Row],[3_Week_Forecast]]</f>
        <v>2221.9400000000023</v>
      </c>
      <c r="M16" s="28">
        <f>ABS(Table2[[#This Row],[Forecast Error]]/Table2[[#This Row],[Weekly_Sales]])*100</f>
        <v>11.739686813471323</v>
      </c>
      <c r="N16" s="23" t="str">
        <f>Table2[[#This Row],[Store]] &amp; "_" &amp; TEXT(Table2[[#This Row],[Date]],"yyyy-mm-dd")</f>
        <v>1_2010-05-14</v>
      </c>
      <c r="O16" s="23">
        <f>VLOOKUP($N16,Features!A16:N158,4,FALSE)</f>
        <v>74.78</v>
      </c>
      <c r="P16" s="27">
        <f>VLOOKUP($N16,Features!A16:N158,11,FALSE)</f>
        <v>210.33742609999999</v>
      </c>
      <c r="Q16" s="23">
        <f>VLOOKUP($N16,Features!A16:N158,14,FALSE)</f>
        <v>0</v>
      </c>
      <c r="R16" s="23" t="str">
        <f>IF(Table2[[#This Row],[3_Week_Forecast]]&lt;Table2[[#This Row],[Weekly_Sales]], "Underforecast", "Overforecast")</f>
        <v>Underforecast</v>
      </c>
      <c r="T16" s="5" t="s">
        <v>49</v>
      </c>
      <c r="V16" s="9" t="s">
        <v>50</v>
      </c>
      <c r="W16" s="10">
        <v>69146.59</v>
      </c>
      <c r="AF16" s="9" t="s">
        <v>51</v>
      </c>
      <c r="AG16" s="13">
        <v>34849.594999999994</v>
      </c>
    </row>
    <row r="17" spans="1:33">
      <c r="A17" s="17">
        <v>1</v>
      </c>
      <c r="B17" s="18">
        <v>1</v>
      </c>
      <c r="C17" s="19">
        <v>40319</v>
      </c>
      <c r="D17" s="20">
        <v>14773.04</v>
      </c>
      <c r="E17" s="21" t="b">
        <v>0</v>
      </c>
      <c r="F17" s="22">
        <f>YEAR(Table2[[#This Row],[Date]])</f>
        <v>2010</v>
      </c>
      <c r="G17" s="22" t="str">
        <f>TEXT(Table2[[#This Row],[Date]],"mmm")</f>
        <v>May</v>
      </c>
      <c r="H17" s="22" t="str">
        <f>TEXT(Table2[[#This Row],[Date]],"yyyy-mm")</f>
        <v>2010-05</v>
      </c>
      <c r="I17" s="22">
        <f>WEEKNUM(Table2[[#This Row],[Date]])</f>
        <v>21</v>
      </c>
      <c r="J17" s="23">
        <f>Table2[[#This Row],[Weekly_Sales]]*2</f>
        <v>29546.080000000002</v>
      </c>
      <c r="K17" s="28">
        <f t="shared" si="0"/>
        <v>17631.930000000004</v>
      </c>
      <c r="L17" s="28">
        <f>Table2[[#This Row],[Weekly_Sales]]-Table2[[#This Row],[3_Week_Forecast]]</f>
        <v>-2858.8900000000031</v>
      </c>
      <c r="M17" s="28">
        <f>ABS(Table2[[#This Row],[Forecast Error]]/Table2[[#This Row],[Weekly_Sales]])*100</f>
        <v>19.352076485273191</v>
      </c>
      <c r="N17" s="23" t="str">
        <f>Table2[[#This Row],[Store]] &amp; "_" &amp; TEXT(Table2[[#This Row],[Date]],"yyyy-mm-dd")</f>
        <v>1_2010-05-21</v>
      </c>
      <c r="O17" s="23">
        <f>VLOOKUP($N17,Features!A17:N159,4,FALSE)</f>
        <v>76.44</v>
      </c>
      <c r="P17" s="27">
        <f>VLOOKUP($N17,Features!A17:N159,11,FALSE)</f>
        <v>210.61709339999999</v>
      </c>
      <c r="Q17" s="23">
        <f>VLOOKUP($N17,Features!A17:N159,14,FALSE)</f>
        <v>0</v>
      </c>
      <c r="R17" s="23" t="str">
        <f>IF(Table2[[#This Row],[3_Week_Forecast]]&lt;Table2[[#This Row],[Weekly_Sales]], "Underforecast", "Overforecast")</f>
        <v>Overforecast</v>
      </c>
      <c r="T17" s="6">
        <f>T14/((MAX(C2:C144)-MIN(C2:C144))/365)</f>
        <v>26.255030181086518</v>
      </c>
      <c r="V17" s="9" t="s">
        <v>52</v>
      </c>
      <c r="W17" s="10">
        <v>125762.62999999999</v>
      </c>
      <c r="AF17" s="11" t="s">
        <v>53</v>
      </c>
      <c r="AG17" s="14">
        <v>22513.322937062938</v>
      </c>
    </row>
    <row r="18" spans="1:33">
      <c r="A18" s="17">
        <v>1</v>
      </c>
      <c r="B18" s="18">
        <v>1</v>
      </c>
      <c r="C18" s="19">
        <v>40326</v>
      </c>
      <c r="D18" s="20">
        <v>15580.43</v>
      </c>
      <c r="E18" s="21" t="b">
        <v>0</v>
      </c>
      <c r="F18" s="22">
        <f>YEAR(Table2[[#This Row],[Date]])</f>
        <v>2010</v>
      </c>
      <c r="G18" s="22" t="str">
        <f>TEXT(Table2[[#This Row],[Date]],"mmm")</f>
        <v>May</v>
      </c>
      <c r="H18" s="22" t="str">
        <f>TEXT(Table2[[#This Row],[Date]],"yyyy-mm")</f>
        <v>2010-05</v>
      </c>
      <c r="I18" s="22">
        <f>WEEKNUM(Table2[[#This Row],[Date]])</f>
        <v>22</v>
      </c>
      <c r="J18" s="23">
        <f>Table2[[#This Row],[Weekly_Sales]]*2</f>
        <v>31160.86</v>
      </c>
      <c r="K18" s="28">
        <f t="shared" si="0"/>
        <v>17037.906666666666</v>
      </c>
      <c r="L18" s="28">
        <f>Table2[[#This Row],[Weekly_Sales]]-Table2[[#This Row],[3_Week_Forecast]]</f>
        <v>-1457.4766666666656</v>
      </c>
      <c r="M18" s="28">
        <f>ABS(Table2[[#This Row],[Forecast Error]]/Table2[[#This Row],[Weekly_Sales]])*100</f>
        <v>9.3545342886343033</v>
      </c>
      <c r="N18" s="23" t="str">
        <f>Table2[[#This Row],[Store]] &amp; "_" &amp; TEXT(Table2[[#This Row],[Date]],"yyyy-mm-dd")</f>
        <v>1_2010-05-28</v>
      </c>
      <c r="O18" s="23">
        <f>VLOOKUP($N18,Features!A18:N160,4,FALSE)</f>
        <v>80.44</v>
      </c>
      <c r="P18" s="27">
        <f>VLOOKUP($N18,Features!A18:N160,11,FALSE)</f>
        <v>210.89676059999999</v>
      </c>
      <c r="Q18" s="23">
        <f>VLOOKUP($N18,Features!A18:N160,14,FALSE)</f>
        <v>0</v>
      </c>
      <c r="R18" s="23" t="str">
        <f>IF(Table2[[#This Row],[3_Week_Forecast]]&lt;Table2[[#This Row],[Weekly_Sales]], "Underforecast", "Overforecast")</f>
        <v>Overforecast</v>
      </c>
      <c r="T18" s="5"/>
      <c r="V18" s="9" t="s">
        <v>54</v>
      </c>
      <c r="W18" s="10">
        <v>82823.34</v>
      </c>
    </row>
    <row r="19" spans="1:33">
      <c r="A19" s="17">
        <v>1</v>
      </c>
      <c r="B19" s="18">
        <v>1</v>
      </c>
      <c r="C19" s="19">
        <v>40333</v>
      </c>
      <c r="D19" s="20">
        <v>17558.09</v>
      </c>
      <c r="E19" s="21" t="b">
        <v>0</v>
      </c>
      <c r="F19" s="22">
        <f>YEAR(Table2[[#This Row],[Date]])</f>
        <v>2010</v>
      </c>
      <c r="G19" s="22" t="str">
        <f>TEXT(Table2[[#This Row],[Date]],"mmm")</f>
        <v>Jun</v>
      </c>
      <c r="H19" s="22" t="str">
        <f>TEXT(Table2[[#This Row],[Date]],"yyyy-mm")</f>
        <v>2010-06</v>
      </c>
      <c r="I19" s="22">
        <f>WEEKNUM(Table2[[#This Row],[Date]])</f>
        <v>23</v>
      </c>
      <c r="J19" s="23">
        <f>Table2[[#This Row],[Weekly_Sales]]*2</f>
        <v>35116.18</v>
      </c>
      <c r="K19" s="28">
        <f t="shared" si="0"/>
        <v>16426.736666666668</v>
      </c>
      <c r="L19" s="28">
        <f>Table2[[#This Row],[Weekly_Sales]]-Table2[[#This Row],[3_Week_Forecast]]</f>
        <v>1131.3533333333326</v>
      </c>
      <c r="M19" s="28">
        <f>ABS(Table2[[#This Row],[Forecast Error]]/Table2[[#This Row],[Weekly_Sales]])*100</f>
        <v>6.4434874939889957</v>
      </c>
      <c r="N19" s="23" t="str">
        <f>Table2[[#This Row],[Store]] &amp; "_" &amp; TEXT(Table2[[#This Row],[Date]],"yyyy-mm-dd")</f>
        <v>1_2010-06-04</v>
      </c>
      <c r="O19" s="23">
        <f>VLOOKUP($N19,Features!A19:N161,4,FALSE)</f>
        <v>80.69</v>
      </c>
      <c r="P19" s="27">
        <f>VLOOKUP($N19,Features!A19:N161,11,FALSE)</f>
        <v>211.1764278</v>
      </c>
      <c r="Q19" s="23">
        <f>VLOOKUP($N19,Features!A19:N161,14,FALSE)</f>
        <v>0</v>
      </c>
      <c r="R19" s="23" t="str">
        <f>IF(Table2[[#This Row],[3_Week_Forecast]]&lt;Table2[[#This Row],[Weekly_Sales]], "Underforecast", "Overforecast")</f>
        <v>Underforecast</v>
      </c>
      <c r="T19" s="5" t="s">
        <v>55</v>
      </c>
      <c r="V19" s="9" t="s">
        <v>56</v>
      </c>
      <c r="W19" s="10">
        <v>165056.95000000001</v>
      </c>
    </row>
    <row r="20" spans="1:33">
      <c r="A20" s="17">
        <v>1</v>
      </c>
      <c r="B20" s="18">
        <v>1</v>
      </c>
      <c r="C20" s="19">
        <v>40340</v>
      </c>
      <c r="D20" s="20">
        <v>16637.62</v>
      </c>
      <c r="E20" s="21" t="b">
        <v>0</v>
      </c>
      <c r="F20" s="22">
        <f>YEAR(Table2[[#This Row],[Date]])</f>
        <v>2010</v>
      </c>
      <c r="G20" s="22" t="str">
        <f>TEXT(Table2[[#This Row],[Date]],"mmm")</f>
        <v>Jun</v>
      </c>
      <c r="H20" s="22" t="str">
        <f>TEXT(Table2[[#This Row],[Date]],"yyyy-mm")</f>
        <v>2010-06</v>
      </c>
      <c r="I20" s="22">
        <f>WEEKNUM(Table2[[#This Row],[Date]])</f>
        <v>24</v>
      </c>
      <c r="J20" s="23">
        <f>Table2[[#This Row],[Weekly_Sales]]*2</f>
        <v>33275.24</v>
      </c>
      <c r="K20" s="28">
        <f t="shared" si="0"/>
        <v>15970.519999999999</v>
      </c>
      <c r="L20" s="28">
        <f>Table2[[#This Row],[Weekly_Sales]]-Table2[[#This Row],[3_Week_Forecast]]</f>
        <v>667.10000000000036</v>
      </c>
      <c r="M20" s="28">
        <f>ABS(Table2[[#This Row],[Forecast Error]]/Table2[[#This Row],[Weekly_Sales]])*100</f>
        <v>4.009587909809218</v>
      </c>
      <c r="N20" s="23" t="str">
        <f>Table2[[#This Row],[Store]] &amp; "_" &amp; TEXT(Table2[[#This Row],[Date]],"yyyy-mm-dd")</f>
        <v>1_2010-06-11</v>
      </c>
      <c r="O20" s="23">
        <f>VLOOKUP($N20,Features!A20:N162,4,FALSE)</f>
        <v>80.430000000000007</v>
      </c>
      <c r="P20" s="27">
        <f>VLOOKUP($N20,Features!A20:N162,11,FALSE)</f>
        <v>211.4560951</v>
      </c>
      <c r="Q20" s="23">
        <f>VLOOKUP($N20,Features!A20:N162,14,FALSE)</f>
        <v>0</v>
      </c>
      <c r="R20" s="23" t="str">
        <f>IF(Table2[[#This Row],[3_Week_Forecast]]&lt;Table2[[#This Row],[Weekly_Sales]], "Underforecast", "Overforecast")</f>
        <v>Underforecast</v>
      </c>
      <c r="T20" s="1">
        <f>T8*2</f>
        <v>45026.645874125912</v>
      </c>
      <c r="V20" s="9" t="s">
        <v>57</v>
      </c>
      <c r="W20" s="10">
        <v>68251.72</v>
      </c>
    </row>
    <row r="21" spans="1:33">
      <c r="A21" s="17">
        <v>1</v>
      </c>
      <c r="B21" s="18">
        <v>1</v>
      </c>
      <c r="C21" s="19">
        <v>40347</v>
      </c>
      <c r="D21" s="20">
        <v>16216.27</v>
      </c>
      <c r="E21" s="21" t="b">
        <v>0</v>
      </c>
      <c r="F21" s="22">
        <f>YEAR(Table2[[#This Row],[Date]])</f>
        <v>2010</v>
      </c>
      <c r="G21" s="22" t="str">
        <f>TEXT(Table2[[#This Row],[Date]],"mmm")</f>
        <v>Jun</v>
      </c>
      <c r="H21" s="22" t="str">
        <f>TEXT(Table2[[#This Row],[Date]],"yyyy-mm")</f>
        <v>2010-06</v>
      </c>
      <c r="I21" s="22">
        <f>WEEKNUM(Table2[[#This Row],[Date]])</f>
        <v>25</v>
      </c>
      <c r="J21" s="23">
        <f>Table2[[#This Row],[Weekly_Sales]]*2</f>
        <v>32432.54</v>
      </c>
      <c r="K21" s="28">
        <f t="shared" si="0"/>
        <v>16592.046666666665</v>
      </c>
      <c r="L21" s="28">
        <f>Table2[[#This Row],[Weekly_Sales]]-Table2[[#This Row],[3_Week_Forecast]]</f>
        <v>-375.77666666666482</v>
      </c>
      <c r="M21" s="28">
        <f>ABS(Table2[[#This Row],[Forecast Error]]/Table2[[#This Row],[Weekly_Sales]])*100</f>
        <v>2.3172817587932664</v>
      </c>
      <c r="N21" s="23" t="str">
        <f>Table2[[#This Row],[Store]] &amp; "_" &amp; TEXT(Table2[[#This Row],[Date]],"yyyy-mm-dd")</f>
        <v>1_2010-06-18</v>
      </c>
      <c r="O21" s="23">
        <f>VLOOKUP($N21,Features!A21:N163,4,FALSE)</f>
        <v>84.11</v>
      </c>
      <c r="P21" s="27">
        <f>VLOOKUP($N21,Features!A21:N163,11,FALSE)</f>
        <v>211.45377189999999</v>
      </c>
      <c r="Q21" s="23">
        <f>VLOOKUP($N21,Features!A21:N163,14,FALSE)</f>
        <v>0</v>
      </c>
      <c r="R21" s="23" t="str">
        <f>IF(Table2[[#This Row],[3_Week_Forecast]]&lt;Table2[[#This Row],[Weekly_Sales]], "Underforecast", "Overforecast")</f>
        <v>Overforecast</v>
      </c>
      <c r="V21" s="9" t="s">
        <v>58</v>
      </c>
      <c r="W21" s="10">
        <v>62978.57</v>
      </c>
    </row>
    <row r="22" spans="1:33">
      <c r="A22" s="17">
        <v>1</v>
      </c>
      <c r="B22" s="18">
        <v>1</v>
      </c>
      <c r="C22" s="19">
        <v>40354</v>
      </c>
      <c r="D22" s="20">
        <v>16328.72</v>
      </c>
      <c r="E22" s="21" t="b">
        <v>0</v>
      </c>
      <c r="F22" s="22">
        <f>YEAR(Table2[[#This Row],[Date]])</f>
        <v>2010</v>
      </c>
      <c r="G22" s="22" t="str">
        <f>TEXT(Table2[[#This Row],[Date]],"mmm")</f>
        <v>Jun</v>
      </c>
      <c r="H22" s="22" t="str">
        <f>TEXT(Table2[[#This Row],[Date]],"yyyy-mm")</f>
        <v>2010-06</v>
      </c>
      <c r="I22" s="22">
        <f>WEEKNUM(Table2[[#This Row],[Date]])</f>
        <v>26</v>
      </c>
      <c r="J22" s="23">
        <f>Table2[[#This Row],[Weekly_Sales]]*2</f>
        <v>32657.439999999999</v>
      </c>
      <c r="K22" s="28">
        <f t="shared" si="0"/>
        <v>16803.993333333332</v>
      </c>
      <c r="L22" s="28">
        <f>Table2[[#This Row],[Weekly_Sales]]-Table2[[#This Row],[3_Week_Forecast]]</f>
        <v>-475.27333333333263</v>
      </c>
      <c r="M22" s="28">
        <f>ABS(Table2[[#This Row],[Forecast Error]]/Table2[[#This Row],[Weekly_Sales]])*100</f>
        <v>2.9106588473152373</v>
      </c>
      <c r="N22" s="23" t="str">
        <f>Table2[[#This Row],[Store]] &amp; "_" &amp; TEXT(Table2[[#This Row],[Date]],"yyyy-mm-dd")</f>
        <v>1_2010-06-25</v>
      </c>
      <c r="O22" s="23">
        <f>VLOOKUP($N22,Features!A22:N164,4,FALSE)</f>
        <v>84.34</v>
      </c>
      <c r="P22" s="27">
        <f>VLOOKUP($N22,Features!A22:N164,11,FALSE)</f>
        <v>211.33865259999999</v>
      </c>
      <c r="Q22" s="23">
        <f>VLOOKUP($N22,Features!A22:N164,14,FALSE)</f>
        <v>0</v>
      </c>
      <c r="R22" s="23" t="str">
        <f>IF(Table2[[#This Row],[3_Week_Forecast]]&lt;Table2[[#This Row],[Weekly_Sales]], "Underforecast", "Overforecast")</f>
        <v>Overforecast</v>
      </c>
      <c r="T22" s="16" t="s">
        <v>59</v>
      </c>
      <c r="V22" s="9" t="s">
        <v>60</v>
      </c>
      <c r="W22" s="10">
        <v>78856.23</v>
      </c>
    </row>
    <row r="23" spans="1:33">
      <c r="A23" s="17">
        <v>1</v>
      </c>
      <c r="B23" s="18">
        <v>1</v>
      </c>
      <c r="C23" s="19">
        <v>40361</v>
      </c>
      <c r="D23" s="20">
        <v>16333.14</v>
      </c>
      <c r="E23" s="21" t="b">
        <v>0</v>
      </c>
      <c r="F23" s="22">
        <f>YEAR(Table2[[#This Row],[Date]])</f>
        <v>2010</v>
      </c>
      <c r="G23" s="22" t="str">
        <f>TEXT(Table2[[#This Row],[Date]],"mmm")</f>
        <v>Jul</v>
      </c>
      <c r="H23" s="22" t="str">
        <f>TEXT(Table2[[#This Row],[Date]],"yyyy-mm")</f>
        <v>2010-07</v>
      </c>
      <c r="I23" s="22">
        <f>WEEKNUM(Table2[[#This Row],[Date]])</f>
        <v>27</v>
      </c>
      <c r="J23" s="23">
        <f>Table2[[#This Row],[Weekly_Sales]]*2</f>
        <v>32666.28</v>
      </c>
      <c r="K23" s="28">
        <f t="shared" si="0"/>
        <v>16394.203333333335</v>
      </c>
      <c r="L23" s="28">
        <f>Table2[[#This Row],[Weekly_Sales]]-Table2[[#This Row],[3_Week_Forecast]]</f>
        <v>-61.063333333335322</v>
      </c>
      <c r="M23" s="28">
        <f>ABS(Table2[[#This Row],[Forecast Error]]/Table2[[#This Row],[Weekly_Sales]])*100</f>
        <v>0.37386156815734956</v>
      </c>
      <c r="N23" s="23" t="str">
        <f>Table2[[#This Row],[Store]] &amp; "_" &amp; TEXT(Table2[[#This Row],[Date]],"yyyy-mm-dd")</f>
        <v>1_2010-07-02</v>
      </c>
      <c r="O23" s="23">
        <f>VLOOKUP($N23,Features!A23:N165,4,FALSE)</f>
        <v>80.91</v>
      </c>
      <c r="P23" s="27">
        <f>VLOOKUP($N23,Features!A23:N165,11,FALSE)</f>
        <v>211.22353330000001</v>
      </c>
      <c r="Q23" s="23">
        <f>VLOOKUP($N23,Features!A23:N165,14,FALSE)</f>
        <v>0</v>
      </c>
      <c r="R23" s="23" t="str">
        <f>IF(Table2[[#This Row],[3_Week_Forecast]]&lt;Table2[[#This Row],[Weekly_Sales]], "Underforecast", "Overforecast")</f>
        <v>Overforecast</v>
      </c>
      <c r="T23">
        <f>AVERAGE(M5:M144)</f>
        <v>27.75065711734366</v>
      </c>
      <c r="V23" s="9" t="s">
        <v>61</v>
      </c>
      <c r="W23" s="10">
        <v>59061.950000000004</v>
      </c>
    </row>
    <row r="24" spans="1:33">
      <c r="A24" s="17">
        <v>1</v>
      </c>
      <c r="B24" s="18">
        <v>1</v>
      </c>
      <c r="C24" s="19">
        <v>40368</v>
      </c>
      <c r="D24" s="20">
        <v>17688.759999999998</v>
      </c>
      <c r="E24" s="21" t="b">
        <v>0</v>
      </c>
      <c r="F24" s="22">
        <f>YEAR(Table2[[#This Row],[Date]])</f>
        <v>2010</v>
      </c>
      <c r="G24" s="22" t="str">
        <f>TEXT(Table2[[#This Row],[Date]],"mmm")</f>
        <v>Jul</v>
      </c>
      <c r="H24" s="22" t="str">
        <f>TEXT(Table2[[#This Row],[Date]],"yyyy-mm")</f>
        <v>2010-07</v>
      </c>
      <c r="I24" s="22">
        <f>WEEKNUM(Table2[[#This Row],[Date]])</f>
        <v>28</v>
      </c>
      <c r="J24" s="23">
        <f>Table2[[#This Row],[Weekly_Sales]]*2</f>
        <v>35377.519999999997</v>
      </c>
      <c r="K24" s="28">
        <f t="shared" si="0"/>
        <v>16292.71</v>
      </c>
      <c r="L24" s="28">
        <f>Table2[[#This Row],[Weekly_Sales]]-Table2[[#This Row],[3_Week_Forecast]]</f>
        <v>1396.0499999999993</v>
      </c>
      <c r="M24" s="28">
        <f>ABS(Table2[[#This Row],[Forecast Error]]/Table2[[#This Row],[Weekly_Sales]])*100</f>
        <v>7.892299969019871</v>
      </c>
      <c r="N24" s="23" t="str">
        <f>Table2[[#This Row],[Store]] &amp; "_" &amp; TEXT(Table2[[#This Row],[Date]],"yyyy-mm-dd")</f>
        <v>1_2010-07-09</v>
      </c>
      <c r="O24" s="23">
        <f>VLOOKUP($N24,Features!A24:N166,4,FALSE)</f>
        <v>80.48</v>
      </c>
      <c r="P24" s="27">
        <f>VLOOKUP($N24,Features!A24:N166,11,FALSE)</f>
        <v>211.10841400000001</v>
      </c>
      <c r="Q24" s="23">
        <f>VLOOKUP($N24,Features!A24:N166,14,FALSE)</f>
        <v>0</v>
      </c>
      <c r="R24" s="23" t="str">
        <f>IF(Table2[[#This Row],[3_Week_Forecast]]&lt;Table2[[#This Row],[Weekly_Sales]], "Underforecast", "Overforecast")</f>
        <v>Underforecast</v>
      </c>
      <c r="V24" s="9" t="s">
        <v>62</v>
      </c>
      <c r="W24" s="10">
        <v>87756.41</v>
      </c>
    </row>
    <row r="25" spans="1:33">
      <c r="A25" s="17">
        <v>1</v>
      </c>
      <c r="B25" s="18">
        <v>1</v>
      </c>
      <c r="C25" s="19">
        <v>40375</v>
      </c>
      <c r="D25" s="20">
        <v>17150.84</v>
      </c>
      <c r="E25" s="21" t="b">
        <v>0</v>
      </c>
      <c r="F25" s="22">
        <f>YEAR(Table2[[#This Row],[Date]])</f>
        <v>2010</v>
      </c>
      <c r="G25" s="22" t="str">
        <f>TEXT(Table2[[#This Row],[Date]],"mmm")</f>
        <v>Jul</v>
      </c>
      <c r="H25" s="22" t="str">
        <f>TEXT(Table2[[#This Row],[Date]],"yyyy-mm")</f>
        <v>2010-07</v>
      </c>
      <c r="I25" s="22">
        <f>WEEKNUM(Table2[[#This Row],[Date]])</f>
        <v>29</v>
      </c>
      <c r="J25" s="23">
        <f>Table2[[#This Row],[Weekly_Sales]]*2</f>
        <v>34301.68</v>
      </c>
      <c r="K25" s="28">
        <f t="shared" si="0"/>
        <v>16783.539999999997</v>
      </c>
      <c r="L25" s="28">
        <f>Table2[[#This Row],[Weekly_Sales]]-Table2[[#This Row],[3_Week_Forecast]]</f>
        <v>367.30000000000291</v>
      </c>
      <c r="M25" s="28">
        <f>ABS(Table2[[#This Row],[Forecast Error]]/Table2[[#This Row],[Weekly_Sales]])*100</f>
        <v>2.1415860680876442</v>
      </c>
      <c r="N25" s="23" t="str">
        <f>Table2[[#This Row],[Store]] &amp; "_" &amp; TEXT(Table2[[#This Row],[Date]],"yyyy-mm-dd")</f>
        <v>1_2010-07-16</v>
      </c>
      <c r="O25" s="23">
        <f>VLOOKUP($N25,Features!A25:N167,4,FALSE)</f>
        <v>83.15</v>
      </c>
      <c r="P25" s="27">
        <f>VLOOKUP($N25,Features!A25:N167,11,FALSE)</f>
        <v>211.10038539999999</v>
      </c>
      <c r="Q25" s="23">
        <f>VLOOKUP($N25,Features!A25:N167,14,FALSE)</f>
        <v>0</v>
      </c>
      <c r="R25" s="23" t="str">
        <f>IF(Table2[[#This Row],[3_Week_Forecast]]&lt;Table2[[#This Row],[Weekly_Sales]], "Underforecast", "Overforecast")</f>
        <v>Underforecast</v>
      </c>
      <c r="V25" s="9" t="s">
        <v>63</v>
      </c>
      <c r="W25" s="10">
        <v>98806.830000000016</v>
      </c>
    </row>
    <row r="26" spans="1:33">
      <c r="A26" s="17">
        <v>1</v>
      </c>
      <c r="B26" s="18">
        <v>1</v>
      </c>
      <c r="C26" s="19">
        <v>40382</v>
      </c>
      <c r="D26" s="20">
        <v>15360.45</v>
      </c>
      <c r="E26" s="21" t="b">
        <v>0</v>
      </c>
      <c r="F26" s="22">
        <f>YEAR(Table2[[#This Row],[Date]])</f>
        <v>2010</v>
      </c>
      <c r="G26" s="22" t="str">
        <f>TEXT(Table2[[#This Row],[Date]],"mmm")</f>
        <v>Jul</v>
      </c>
      <c r="H26" s="22" t="str">
        <f>TEXT(Table2[[#This Row],[Date]],"yyyy-mm")</f>
        <v>2010-07</v>
      </c>
      <c r="I26" s="22">
        <f>WEEKNUM(Table2[[#This Row],[Date]])</f>
        <v>30</v>
      </c>
      <c r="J26" s="23">
        <f>Table2[[#This Row],[Weekly_Sales]]*2</f>
        <v>30720.9</v>
      </c>
      <c r="K26" s="28">
        <f t="shared" si="0"/>
        <v>17057.579999999998</v>
      </c>
      <c r="L26" s="28">
        <f>Table2[[#This Row],[Weekly_Sales]]-Table2[[#This Row],[3_Week_Forecast]]</f>
        <v>-1697.1299999999974</v>
      </c>
      <c r="M26" s="28">
        <f>ABS(Table2[[#This Row],[Forecast Error]]/Table2[[#This Row],[Weekly_Sales]])*100</f>
        <v>11.048699745124637</v>
      </c>
      <c r="N26" s="23" t="str">
        <f>Table2[[#This Row],[Store]] &amp; "_" &amp; TEXT(Table2[[#This Row],[Date]],"yyyy-mm-dd")</f>
        <v>1_2010-07-23</v>
      </c>
      <c r="O26" s="23">
        <f>VLOOKUP($N26,Features!A26:N168,4,FALSE)</f>
        <v>83.36</v>
      </c>
      <c r="P26" s="27">
        <f>VLOOKUP($N26,Features!A26:N168,11,FALSE)</f>
        <v>211.2351443</v>
      </c>
      <c r="Q26" s="23">
        <f>VLOOKUP($N26,Features!A26:N168,14,FALSE)</f>
        <v>0</v>
      </c>
      <c r="R26" s="23" t="str">
        <f>IF(Table2[[#This Row],[3_Week_Forecast]]&lt;Table2[[#This Row],[Weekly_Sales]], "Underforecast", "Overforecast")</f>
        <v>Overforecast</v>
      </c>
      <c r="V26" s="9" t="s">
        <v>64</v>
      </c>
      <c r="W26" s="10">
        <v>98537.51</v>
      </c>
    </row>
    <row r="27" spans="1:33">
      <c r="A27" s="17">
        <v>1</v>
      </c>
      <c r="B27" s="18">
        <v>1</v>
      </c>
      <c r="C27" s="19">
        <v>40389</v>
      </c>
      <c r="D27" s="20">
        <v>15381.82</v>
      </c>
      <c r="E27" s="21" t="b">
        <v>0</v>
      </c>
      <c r="F27" s="22">
        <f>YEAR(Table2[[#This Row],[Date]])</f>
        <v>2010</v>
      </c>
      <c r="G27" s="22" t="str">
        <f>TEXT(Table2[[#This Row],[Date]],"mmm")</f>
        <v>Jul</v>
      </c>
      <c r="H27" s="22" t="str">
        <f>TEXT(Table2[[#This Row],[Date]],"yyyy-mm")</f>
        <v>2010-07</v>
      </c>
      <c r="I27" s="22">
        <f>WEEKNUM(Table2[[#This Row],[Date]])</f>
        <v>31</v>
      </c>
      <c r="J27" s="23">
        <f>Table2[[#This Row],[Weekly_Sales]]*2</f>
        <v>30763.64</v>
      </c>
      <c r="K27" s="28">
        <f t="shared" si="0"/>
        <v>16733.350000000002</v>
      </c>
      <c r="L27" s="28">
        <f>Table2[[#This Row],[Weekly_Sales]]-Table2[[#This Row],[3_Week_Forecast]]</f>
        <v>-1351.5300000000025</v>
      </c>
      <c r="M27" s="28">
        <f>ABS(Table2[[#This Row],[Forecast Error]]/Table2[[#This Row],[Weekly_Sales]])*100</f>
        <v>8.7865415145932193</v>
      </c>
      <c r="N27" s="23" t="str">
        <f>Table2[[#This Row],[Store]] &amp; "_" &amp; TEXT(Table2[[#This Row],[Date]],"yyyy-mm-dd")</f>
        <v>1_2010-07-30</v>
      </c>
      <c r="O27" s="23">
        <f>VLOOKUP($N27,Features!A27:N169,4,FALSE)</f>
        <v>81.84</v>
      </c>
      <c r="P27" s="27">
        <f>VLOOKUP($N27,Features!A27:N169,11,FALSE)</f>
        <v>211.36990320000001</v>
      </c>
      <c r="Q27" s="23">
        <f>VLOOKUP($N27,Features!A27:N169,14,FALSE)</f>
        <v>0</v>
      </c>
      <c r="R27" s="23" t="str">
        <f>IF(Table2[[#This Row],[3_Week_Forecast]]&lt;Table2[[#This Row],[Weekly_Sales]], "Underforecast", "Overforecast")</f>
        <v>Overforecast</v>
      </c>
      <c r="V27" s="9" t="s">
        <v>65</v>
      </c>
      <c r="W27" s="10">
        <v>174512.07</v>
      </c>
    </row>
    <row r="28" spans="1:33">
      <c r="A28" s="17">
        <v>1</v>
      </c>
      <c r="B28" s="18">
        <v>1</v>
      </c>
      <c r="C28" s="19">
        <v>40396</v>
      </c>
      <c r="D28" s="20">
        <v>17508.41</v>
      </c>
      <c r="E28" s="21" t="b">
        <v>0</v>
      </c>
      <c r="F28" s="22">
        <f>YEAR(Table2[[#This Row],[Date]])</f>
        <v>2010</v>
      </c>
      <c r="G28" s="22" t="str">
        <f>TEXT(Table2[[#This Row],[Date]],"mmm")</f>
        <v>Aug</v>
      </c>
      <c r="H28" s="22" t="str">
        <f>TEXT(Table2[[#This Row],[Date]],"yyyy-mm")</f>
        <v>2010-08</v>
      </c>
      <c r="I28" s="22">
        <f>WEEKNUM(Table2[[#This Row],[Date]])</f>
        <v>32</v>
      </c>
      <c r="J28" s="23">
        <f>Table2[[#This Row],[Weekly_Sales]]*2</f>
        <v>35016.82</v>
      </c>
      <c r="K28" s="28">
        <f t="shared" si="0"/>
        <v>15964.37</v>
      </c>
      <c r="L28" s="28">
        <f>Table2[[#This Row],[Weekly_Sales]]-Table2[[#This Row],[3_Week_Forecast]]</f>
        <v>1544.0399999999991</v>
      </c>
      <c r="M28" s="28">
        <f>ABS(Table2[[#This Row],[Forecast Error]]/Table2[[#This Row],[Weekly_Sales]])*100</f>
        <v>8.8188476280827288</v>
      </c>
      <c r="N28" s="23" t="str">
        <f>Table2[[#This Row],[Store]] &amp; "_" &amp; TEXT(Table2[[#This Row],[Date]],"yyyy-mm-dd")</f>
        <v>1_2010-08-06</v>
      </c>
      <c r="O28" s="23">
        <f>VLOOKUP($N28,Features!A28:N170,4,FALSE)</f>
        <v>87.16</v>
      </c>
      <c r="P28" s="27">
        <f>VLOOKUP($N28,Features!A28:N170,11,FALSE)</f>
        <v>211.50466209999999</v>
      </c>
      <c r="Q28" s="23">
        <f>VLOOKUP($N28,Features!A28:N170,14,FALSE)</f>
        <v>0</v>
      </c>
      <c r="R28" s="23" t="str">
        <f>IF(Table2[[#This Row],[3_Week_Forecast]]&lt;Table2[[#This Row],[Weekly_Sales]], "Underforecast", "Overforecast")</f>
        <v>Underforecast</v>
      </c>
      <c r="V28" s="9" t="s">
        <v>66</v>
      </c>
      <c r="W28" s="10">
        <v>70205.349999999991</v>
      </c>
    </row>
    <row r="29" spans="1:33">
      <c r="A29" s="17">
        <v>1</v>
      </c>
      <c r="B29" s="18">
        <v>1</v>
      </c>
      <c r="C29" s="19">
        <v>40403</v>
      </c>
      <c r="D29" s="20">
        <v>15536.4</v>
      </c>
      <c r="E29" s="21" t="b">
        <v>0</v>
      </c>
      <c r="F29" s="22">
        <f>YEAR(Table2[[#This Row],[Date]])</f>
        <v>2010</v>
      </c>
      <c r="G29" s="22" t="str">
        <f>TEXT(Table2[[#This Row],[Date]],"mmm")</f>
        <v>Aug</v>
      </c>
      <c r="H29" s="22" t="str">
        <f>TEXT(Table2[[#This Row],[Date]],"yyyy-mm")</f>
        <v>2010-08</v>
      </c>
      <c r="I29" s="22">
        <f>WEEKNUM(Table2[[#This Row],[Date]])</f>
        <v>33</v>
      </c>
      <c r="J29" s="23">
        <f>Table2[[#This Row],[Weekly_Sales]]*2</f>
        <v>31072.799999999999</v>
      </c>
      <c r="K29" s="28">
        <f t="shared" si="0"/>
        <v>16083.56</v>
      </c>
      <c r="L29" s="28">
        <f>Table2[[#This Row],[Weekly_Sales]]-Table2[[#This Row],[3_Week_Forecast]]</f>
        <v>-547.15999999999985</v>
      </c>
      <c r="M29" s="28">
        <f>ABS(Table2[[#This Row],[Forecast Error]]/Table2[[#This Row],[Weekly_Sales]])*100</f>
        <v>3.5217939805875225</v>
      </c>
      <c r="N29" s="23" t="str">
        <f>Table2[[#This Row],[Store]] &amp; "_" &amp; TEXT(Table2[[#This Row],[Date]],"yyyy-mm-dd")</f>
        <v>1_2010-08-13</v>
      </c>
      <c r="O29" s="23">
        <f>VLOOKUP($N29,Features!A29:N171,4,FALSE)</f>
        <v>87</v>
      </c>
      <c r="P29" s="27">
        <f>VLOOKUP($N29,Features!A29:N171,11,FALSE)</f>
        <v>211.63942109999999</v>
      </c>
      <c r="Q29" s="23">
        <f>VLOOKUP($N29,Features!A29:N171,14,FALSE)</f>
        <v>0</v>
      </c>
      <c r="R29" s="23" t="str">
        <f>IF(Table2[[#This Row],[3_Week_Forecast]]&lt;Table2[[#This Row],[Weekly_Sales]], "Underforecast", "Overforecast")</f>
        <v>Overforecast</v>
      </c>
      <c r="V29" s="9" t="s">
        <v>67</v>
      </c>
      <c r="W29" s="10">
        <v>134683.29999999999</v>
      </c>
    </row>
    <row r="30" spans="1:33">
      <c r="A30" s="17">
        <v>1</v>
      </c>
      <c r="B30" s="18">
        <v>1</v>
      </c>
      <c r="C30" s="19">
        <v>40410</v>
      </c>
      <c r="D30" s="20">
        <v>15740.13</v>
      </c>
      <c r="E30" s="21" t="b">
        <v>0</v>
      </c>
      <c r="F30" s="22">
        <f>YEAR(Table2[[#This Row],[Date]])</f>
        <v>2010</v>
      </c>
      <c r="G30" s="22" t="str">
        <f>TEXT(Table2[[#This Row],[Date]],"mmm")</f>
        <v>Aug</v>
      </c>
      <c r="H30" s="22" t="str">
        <f>TEXT(Table2[[#This Row],[Date]],"yyyy-mm")</f>
        <v>2010-08</v>
      </c>
      <c r="I30" s="22">
        <f>WEEKNUM(Table2[[#This Row],[Date]])</f>
        <v>34</v>
      </c>
      <c r="J30" s="23">
        <f>Table2[[#This Row],[Weekly_Sales]]*2</f>
        <v>31480.26</v>
      </c>
      <c r="K30" s="28">
        <f t="shared" si="0"/>
        <v>16142.21</v>
      </c>
      <c r="L30" s="28">
        <f>Table2[[#This Row],[Weekly_Sales]]-Table2[[#This Row],[3_Week_Forecast]]</f>
        <v>-402.07999999999993</v>
      </c>
      <c r="M30" s="28">
        <f>ABS(Table2[[#This Row],[Forecast Error]]/Table2[[#This Row],[Weekly_Sales]])*100</f>
        <v>2.554489702435748</v>
      </c>
      <c r="N30" s="23" t="str">
        <f>Table2[[#This Row],[Store]] &amp; "_" &amp; TEXT(Table2[[#This Row],[Date]],"yyyy-mm-dd")</f>
        <v>1_2010-08-20</v>
      </c>
      <c r="O30" s="23">
        <f>VLOOKUP($N30,Features!A30:N172,4,FALSE)</f>
        <v>86.65</v>
      </c>
      <c r="P30" s="27">
        <f>VLOOKUP($N30,Features!A30:N172,11,FALSE)</f>
        <v>211.60336330000001</v>
      </c>
      <c r="Q30" s="23">
        <f>VLOOKUP($N30,Features!A30:N172,14,FALSE)</f>
        <v>0</v>
      </c>
      <c r="R30" s="23" t="str">
        <f>IF(Table2[[#This Row],[3_Week_Forecast]]&lt;Table2[[#This Row],[Weekly_Sales]], "Underforecast", "Overforecast")</f>
        <v>Overforecast</v>
      </c>
      <c r="V30" s="9" t="s">
        <v>68</v>
      </c>
      <c r="W30" s="10">
        <v>114680.54</v>
      </c>
    </row>
    <row r="31" spans="1:33">
      <c r="A31" s="17">
        <v>1</v>
      </c>
      <c r="B31" s="18">
        <v>1</v>
      </c>
      <c r="C31" s="19">
        <v>40417</v>
      </c>
      <c r="D31" s="20">
        <v>15793.87</v>
      </c>
      <c r="E31" s="21" t="b">
        <v>0</v>
      </c>
      <c r="F31" s="22">
        <f>YEAR(Table2[[#This Row],[Date]])</f>
        <v>2010</v>
      </c>
      <c r="G31" s="22" t="str">
        <f>TEXT(Table2[[#This Row],[Date]],"mmm")</f>
        <v>Aug</v>
      </c>
      <c r="H31" s="22" t="str">
        <f>TEXT(Table2[[#This Row],[Date]],"yyyy-mm")</f>
        <v>2010-08</v>
      </c>
      <c r="I31" s="22">
        <f>WEEKNUM(Table2[[#This Row],[Date]])</f>
        <v>35</v>
      </c>
      <c r="J31" s="23">
        <f>Table2[[#This Row],[Weekly_Sales]]*2</f>
        <v>31587.74</v>
      </c>
      <c r="K31" s="28">
        <f t="shared" si="0"/>
        <v>16261.646666666666</v>
      </c>
      <c r="L31" s="28">
        <f>Table2[[#This Row],[Weekly_Sales]]-Table2[[#This Row],[3_Week_Forecast]]</f>
        <v>-467.77666666666482</v>
      </c>
      <c r="M31" s="28">
        <f>ABS(Table2[[#This Row],[Forecast Error]]/Table2[[#This Row],[Weekly_Sales]])*100</f>
        <v>2.9617609025948979</v>
      </c>
      <c r="N31" s="23" t="str">
        <f>Table2[[#This Row],[Store]] &amp; "_" &amp; TEXT(Table2[[#This Row],[Date]],"yyyy-mm-dd")</f>
        <v>1_2010-08-27</v>
      </c>
      <c r="O31" s="23">
        <f>VLOOKUP($N31,Features!A31:N173,4,FALSE)</f>
        <v>85.22</v>
      </c>
      <c r="P31" s="27">
        <f>VLOOKUP($N31,Features!A31:N173,11,FALSE)</f>
        <v>211.5673056</v>
      </c>
      <c r="Q31" s="23">
        <f>VLOOKUP($N31,Features!A31:N173,14,FALSE)</f>
        <v>0</v>
      </c>
      <c r="R31" s="23" t="str">
        <f>IF(Table2[[#This Row],[3_Week_Forecast]]&lt;Table2[[#This Row],[Weekly_Sales]], "Underforecast", "Overforecast")</f>
        <v>Overforecast</v>
      </c>
      <c r="V31" s="9" t="s">
        <v>69</v>
      </c>
      <c r="W31" s="10">
        <v>125600.12000000001</v>
      </c>
    </row>
    <row r="32" spans="1:33">
      <c r="A32" s="17">
        <v>1</v>
      </c>
      <c r="B32" s="18">
        <v>1</v>
      </c>
      <c r="C32" s="19">
        <v>40424</v>
      </c>
      <c r="D32" s="20">
        <v>16241.78</v>
      </c>
      <c r="E32" s="21" t="b">
        <v>0</v>
      </c>
      <c r="F32" s="22">
        <f>YEAR(Table2[[#This Row],[Date]])</f>
        <v>2010</v>
      </c>
      <c r="G32" s="22" t="str">
        <f>TEXT(Table2[[#This Row],[Date]],"mmm")</f>
        <v>Sep</v>
      </c>
      <c r="H32" s="22" t="str">
        <f>TEXT(Table2[[#This Row],[Date]],"yyyy-mm")</f>
        <v>2010-09</v>
      </c>
      <c r="I32" s="22">
        <f>WEEKNUM(Table2[[#This Row],[Date]])</f>
        <v>36</v>
      </c>
      <c r="J32" s="23">
        <f>Table2[[#This Row],[Weekly_Sales]]*2</f>
        <v>32483.56</v>
      </c>
      <c r="K32" s="28">
        <f t="shared" si="0"/>
        <v>15690.133333333333</v>
      </c>
      <c r="L32" s="28">
        <f>Table2[[#This Row],[Weekly_Sales]]-Table2[[#This Row],[3_Week_Forecast]]</f>
        <v>551.64666666666744</v>
      </c>
      <c r="M32" s="28">
        <f>ABS(Table2[[#This Row],[Forecast Error]]/Table2[[#This Row],[Weekly_Sales]])*100</f>
        <v>3.3964668076200231</v>
      </c>
      <c r="N32" s="23" t="str">
        <f>Table2[[#This Row],[Store]] &amp; "_" &amp; TEXT(Table2[[#This Row],[Date]],"yyyy-mm-dd")</f>
        <v>1_2010-09-03</v>
      </c>
      <c r="O32" s="23">
        <f>VLOOKUP($N32,Features!A32:N174,4,FALSE)</f>
        <v>81.209999999999994</v>
      </c>
      <c r="P32" s="27">
        <f>VLOOKUP($N32,Features!A32:N174,11,FALSE)</f>
        <v>211.53124790000001</v>
      </c>
      <c r="Q32" s="23">
        <f>VLOOKUP($N32,Features!A32:N174,14,FALSE)</f>
        <v>0</v>
      </c>
      <c r="R32" s="23" t="str">
        <f>IF(Table2[[#This Row],[3_Week_Forecast]]&lt;Table2[[#This Row],[Weekly_Sales]], "Underforecast", "Overforecast")</f>
        <v>Underforecast</v>
      </c>
      <c r="V32" s="9" t="s">
        <v>70</v>
      </c>
      <c r="W32" s="10">
        <v>70792.98</v>
      </c>
    </row>
    <row r="33" spans="1:23">
      <c r="A33" s="17">
        <v>1</v>
      </c>
      <c r="B33" s="18">
        <v>1</v>
      </c>
      <c r="C33" s="19">
        <v>40431</v>
      </c>
      <c r="D33" s="20">
        <v>18194.740000000002</v>
      </c>
      <c r="E33" s="21" t="b">
        <v>1</v>
      </c>
      <c r="F33" s="22">
        <f>YEAR(Table2[[#This Row],[Date]])</f>
        <v>2010</v>
      </c>
      <c r="G33" s="22" t="str">
        <f>TEXT(Table2[[#This Row],[Date]],"mmm")</f>
        <v>Sep</v>
      </c>
      <c r="H33" s="22" t="str">
        <f>TEXT(Table2[[#This Row],[Date]],"yyyy-mm")</f>
        <v>2010-09</v>
      </c>
      <c r="I33" s="22">
        <f>WEEKNUM(Table2[[#This Row],[Date]])</f>
        <v>37</v>
      </c>
      <c r="J33" s="23">
        <f>Table2[[#This Row],[Weekly_Sales]]*2</f>
        <v>36389.480000000003</v>
      </c>
      <c r="K33" s="28">
        <f t="shared" si="0"/>
        <v>15925.26</v>
      </c>
      <c r="L33" s="28">
        <f>Table2[[#This Row],[Weekly_Sales]]-Table2[[#This Row],[3_Week_Forecast]]</f>
        <v>2269.4800000000014</v>
      </c>
      <c r="M33" s="28">
        <f>ABS(Table2[[#This Row],[Forecast Error]]/Table2[[#This Row],[Weekly_Sales]])*100</f>
        <v>12.473275243284604</v>
      </c>
      <c r="N33" s="23" t="str">
        <f>Table2[[#This Row],[Store]] &amp; "_" &amp; TEXT(Table2[[#This Row],[Date]],"yyyy-mm-dd")</f>
        <v>1_2010-09-10</v>
      </c>
      <c r="O33" s="23">
        <f>VLOOKUP($N33,Features!A33:N175,4,FALSE)</f>
        <v>78.69</v>
      </c>
      <c r="P33" s="27">
        <f>VLOOKUP($N33,Features!A33:N175,11,FALSE)</f>
        <v>211.4951902</v>
      </c>
      <c r="Q33" s="23">
        <f>VLOOKUP($N33,Features!A33:N175,14,FALSE)</f>
        <v>0</v>
      </c>
      <c r="R33" s="23" t="str">
        <f>IF(Table2[[#This Row],[3_Week_Forecast]]&lt;Table2[[#This Row],[Weekly_Sales]], "Underforecast", "Overforecast")</f>
        <v>Underforecast</v>
      </c>
      <c r="V33" s="9" t="s">
        <v>71</v>
      </c>
      <c r="W33" s="10">
        <v>83646.540000000008</v>
      </c>
    </row>
    <row r="34" spans="1:23">
      <c r="A34" s="17">
        <v>1</v>
      </c>
      <c r="B34" s="18">
        <v>1</v>
      </c>
      <c r="C34" s="19">
        <v>40438</v>
      </c>
      <c r="D34" s="20">
        <v>19354.23</v>
      </c>
      <c r="E34" s="21" t="b">
        <v>0</v>
      </c>
      <c r="F34" s="22">
        <f>YEAR(Table2[[#This Row],[Date]])</f>
        <v>2010</v>
      </c>
      <c r="G34" s="22" t="str">
        <f>TEXT(Table2[[#This Row],[Date]],"mmm")</f>
        <v>Sep</v>
      </c>
      <c r="H34" s="22" t="str">
        <f>TEXT(Table2[[#This Row],[Date]],"yyyy-mm")</f>
        <v>2010-09</v>
      </c>
      <c r="I34" s="22">
        <f>WEEKNUM(Table2[[#This Row],[Date]])</f>
        <v>38</v>
      </c>
      <c r="J34" s="23">
        <f>Table2[[#This Row],[Weekly_Sales]]*2</f>
        <v>38708.46</v>
      </c>
      <c r="K34" s="28">
        <f t="shared" si="0"/>
        <v>16743.463333333333</v>
      </c>
      <c r="L34" s="28">
        <f>Table2[[#This Row],[Weekly_Sales]]-Table2[[#This Row],[3_Week_Forecast]]</f>
        <v>2610.7666666666664</v>
      </c>
      <c r="M34" s="28">
        <f>ABS(Table2[[#This Row],[Forecast Error]]/Table2[[#This Row],[Weekly_Sales]])*100</f>
        <v>13.48938535228044</v>
      </c>
      <c r="N34" s="23" t="str">
        <f>Table2[[#This Row],[Store]] &amp; "_" &amp; TEXT(Table2[[#This Row],[Date]],"yyyy-mm-dd")</f>
        <v>1_2010-09-17</v>
      </c>
      <c r="O34" s="23">
        <f>VLOOKUP($N34,Features!A34:N176,4,FALSE)</f>
        <v>82.11</v>
      </c>
      <c r="P34" s="27">
        <f>VLOOKUP($N34,Features!A34:N176,11,FALSE)</f>
        <v>211.52245959999999</v>
      </c>
      <c r="Q34" s="23">
        <f>VLOOKUP($N34,Features!A34:N176,14,FALSE)</f>
        <v>0</v>
      </c>
      <c r="R34" s="23" t="str">
        <f>IF(Table2[[#This Row],[3_Week_Forecast]]&lt;Table2[[#This Row],[Weekly_Sales]], "Underforecast", "Overforecast")</f>
        <v>Underforecast</v>
      </c>
      <c r="V34" s="9" t="s">
        <v>72</v>
      </c>
      <c r="W34" s="10">
        <v>66468.790000000008</v>
      </c>
    </row>
    <row r="35" spans="1:23">
      <c r="A35" s="17">
        <v>1</v>
      </c>
      <c r="B35" s="18">
        <v>1</v>
      </c>
      <c r="C35" s="19">
        <v>40445</v>
      </c>
      <c r="D35" s="20">
        <v>18122.52</v>
      </c>
      <c r="E35" s="21" t="b">
        <v>0</v>
      </c>
      <c r="F35" s="22">
        <f>YEAR(Table2[[#This Row],[Date]])</f>
        <v>2010</v>
      </c>
      <c r="G35" s="22" t="str">
        <f>TEXT(Table2[[#This Row],[Date]],"mmm")</f>
        <v>Sep</v>
      </c>
      <c r="H35" s="22" t="str">
        <f>TEXT(Table2[[#This Row],[Date]],"yyyy-mm")</f>
        <v>2010-09</v>
      </c>
      <c r="I35" s="22">
        <f>WEEKNUM(Table2[[#This Row],[Date]])</f>
        <v>39</v>
      </c>
      <c r="J35" s="23">
        <f>Table2[[#This Row],[Weekly_Sales]]*2</f>
        <v>36245.040000000001</v>
      </c>
      <c r="K35" s="28">
        <f t="shared" si="0"/>
        <v>17930.25</v>
      </c>
      <c r="L35" s="28">
        <f>Table2[[#This Row],[Weekly_Sales]]-Table2[[#This Row],[3_Week_Forecast]]</f>
        <v>192.27000000000044</v>
      </c>
      <c r="M35" s="28">
        <f>ABS(Table2[[#This Row],[Forecast Error]]/Table2[[#This Row],[Weekly_Sales]])*100</f>
        <v>1.0609451665662415</v>
      </c>
      <c r="N35" s="23" t="str">
        <f>Table2[[#This Row],[Store]] &amp; "_" &amp; TEXT(Table2[[#This Row],[Date]],"yyyy-mm-dd")</f>
        <v>1_2010-09-24</v>
      </c>
      <c r="O35" s="23">
        <f>VLOOKUP($N35,Features!A35:N177,4,FALSE)</f>
        <v>80.94</v>
      </c>
      <c r="P35" s="27">
        <f>VLOOKUP($N35,Features!A35:N177,11,FALSE)</f>
        <v>211.5972246</v>
      </c>
      <c r="Q35" s="23">
        <f>VLOOKUP($N35,Features!A35:N177,14,FALSE)</f>
        <v>0</v>
      </c>
      <c r="R35" s="23" t="str">
        <f>IF(Table2[[#This Row],[3_Week_Forecast]]&lt;Table2[[#This Row],[Weekly_Sales]], "Underforecast", "Overforecast")</f>
        <v>Underforecast</v>
      </c>
      <c r="V35" s="9" t="s">
        <v>73</v>
      </c>
      <c r="W35" s="10">
        <v>83045.570000000007</v>
      </c>
    </row>
    <row r="36" spans="1:23">
      <c r="A36" s="17">
        <v>1</v>
      </c>
      <c r="B36" s="18">
        <v>1</v>
      </c>
      <c r="C36" s="19">
        <v>40452</v>
      </c>
      <c r="D36" s="20">
        <v>20094.189999999999</v>
      </c>
      <c r="E36" s="21" t="b">
        <v>0</v>
      </c>
      <c r="F36" s="22">
        <f>YEAR(Table2[[#This Row],[Date]])</f>
        <v>2010</v>
      </c>
      <c r="G36" s="22" t="str">
        <f>TEXT(Table2[[#This Row],[Date]],"mmm")</f>
        <v>Oct</v>
      </c>
      <c r="H36" s="22" t="str">
        <f>TEXT(Table2[[#This Row],[Date]],"yyyy-mm")</f>
        <v>2010-10</v>
      </c>
      <c r="I36" s="22">
        <f>WEEKNUM(Table2[[#This Row],[Date]])</f>
        <v>40</v>
      </c>
      <c r="J36" s="23">
        <f>Table2[[#This Row],[Weekly_Sales]]*2</f>
        <v>40188.379999999997</v>
      </c>
      <c r="K36" s="28">
        <f t="shared" si="0"/>
        <v>18557.163333333334</v>
      </c>
      <c r="L36" s="28">
        <f>Table2[[#This Row],[Weekly_Sales]]-Table2[[#This Row],[3_Week_Forecast]]</f>
        <v>1537.0266666666648</v>
      </c>
      <c r="M36" s="28">
        <f>ABS(Table2[[#This Row],[Forecast Error]]/Table2[[#This Row],[Weekly_Sales]])*100</f>
        <v>7.6491098504924304</v>
      </c>
      <c r="N36" s="23" t="str">
        <f>Table2[[#This Row],[Store]] &amp; "_" &amp; TEXT(Table2[[#This Row],[Date]],"yyyy-mm-dd")</f>
        <v>1_2010-10-01</v>
      </c>
      <c r="O36" s="23">
        <f>VLOOKUP($N36,Features!A36:N178,4,FALSE)</f>
        <v>71.89</v>
      </c>
      <c r="P36" s="27">
        <f>VLOOKUP($N36,Features!A36:N178,11,FALSE)</f>
        <v>211.6719895</v>
      </c>
      <c r="Q36" s="23">
        <f>VLOOKUP($N36,Features!A36:N178,14,FALSE)</f>
        <v>0</v>
      </c>
      <c r="R36" s="23" t="str">
        <f>IF(Table2[[#This Row],[3_Week_Forecast]]&lt;Table2[[#This Row],[Weekly_Sales]], "Underforecast", "Overforecast")</f>
        <v>Underforecast</v>
      </c>
      <c r="V36" s="9" t="s">
        <v>74</v>
      </c>
      <c r="W36" s="10">
        <v>76137.899999999994</v>
      </c>
    </row>
    <row r="37" spans="1:23">
      <c r="A37" s="17">
        <v>1</v>
      </c>
      <c r="B37" s="18">
        <v>1</v>
      </c>
      <c r="C37" s="19">
        <v>40459</v>
      </c>
      <c r="D37" s="20">
        <v>23388.03</v>
      </c>
      <c r="E37" s="21" t="b">
        <v>0</v>
      </c>
      <c r="F37" s="22">
        <f>YEAR(Table2[[#This Row],[Date]])</f>
        <v>2010</v>
      </c>
      <c r="G37" s="22" t="str">
        <f>TEXT(Table2[[#This Row],[Date]],"mmm")</f>
        <v>Oct</v>
      </c>
      <c r="H37" s="22" t="str">
        <f>TEXT(Table2[[#This Row],[Date]],"yyyy-mm")</f>
        <v>2010-10</v>
      </c>
      <c r="I37" s="22">
        <f>WEEKNUM(Table2[[#This Row],[Date]])</f>
        <v>41</v>
      </c>
      <c r="J37" s="23">
        <f>Table2[[#This Row],[Weekly_Sales]]*2</f>
        <v>46776.06</v>
      </c>
      <c r="K37" s="28">
        <f t="shared" si="0"/>
        <v>19190.313333333335</v>
      </c>
      <c r="L37" s="28">
        <f>Table2[[#This Row],[Weekly_Sales]]-Table2[[#This Row],[3_Week_Forecast]]</f>
        <v>4197.7166666666635</v>
      </c>
      <c r="M37" s="28">
        <f>ABS(Table2[[#This Row],[Forecast Error]]/Table2[[#This Row],[Weekly_Sales]])*100</f>
        <v>17.9481412785372</v>
      </c>
      <c r="N37" s="23" t="str">
        <f>Table2[[#This Row],[Store]] &amp; "_" &amp; TEXT(Table2[[#This Row],[Date]],"yyyy-mm-dd")</f>
        <v>1_2010-10-08</v>
      </c>
      <c r="O37" s="23">
        <f>VLOOKUP($N37,Features!A37:N179,4,FALSE)</f>
        <v>63.93</v>
      </c>
      <c r="P37" s="27">
        <f>VLOOKUP($N37,Features!A37:N179,11,FALSE)</f>
        <v>211.74675439999999</v>
      </c>
      <c r="Q37" s="23">
        <f>VLOOKUP($N37,Features!A37:N179,14,FALSE)</f>
        <v>0</v>
      </c>
      <c r="R37" s="23" t="str">
        <f>IF(Table2[[#This Row],[3_Week_Forecast]]&lt;Table2[[#This Row],[Weekly_Sales]], "Underforecast", "Overforecast")</f>
        <v>Underforecast</v>
      </c>
      <c r="V37" s="9" t="s">
        <v>75</v>
      </c>
      <c r="W37" s="10">
        <v>96244.56</v>
      </c>
    </row>
    <row r="38" spans="1:23">
      <c r="A38" s="17">
        <v>1</v>
      </c>
      <c r="B38" s="18">
        <v>1</v>
      </c>
      <c r="C38" s="19">
        <v>40466</v>
      </c>
      <c r="D38" s="20">
        <v>26978.34</v>
      </c>
      <c r="E38" s="21" t="b">
        <v>0</v>
      </c>
      <c r="F38" s="22">
        <f>YEAR(Table2[[#This Row],[Date]])</f>
        <v>2010</v>
      </c>
      <c r="G38" s="22" t="str">
        <f>TEXT(Table2[[#This Row],[Date]],"mmm")</f>
        <v>Oct</v>
      </c>
      <c r="H38" s="22" t="str">
        <f>TEXT(Table2[[#This Row],[Date]],"yyyy-mm")</f>
        <v>2010-10</v>
      </c>
      <c r="I38" s="22">
        <f>WEEKNUM(Table2[[#This Row],[Date]])</f>
        <v>42</v>
      </c>
      <c r="J38" s="23">
        <f>Table2[[#This Row],[Weekly_Sales]]*2</f>
        <v>53956.68</v>
      </c>
      <c r="K38" s="28">
        <f t="shared" si="0"/>
        <v>20534.913333333334</v>
      </c>
      <c r="L38" s="28">
        <f>Table2[[#This Row],[Weekly_Sales]]-Table2[[#This Row],[3_Week_Forecast]]</f>
        <v>6443.4266666666663</v>
      </c>
      <c r="M38" s="28">
        <f>ABS(Table2[[#This Row],[Forecast Error]]/Table2[[#This Row],[Weekly_Sales]])*100</f>
        <v>23.883703247370544</v>
      </c>
      <c r="N38" s="23" t="str">
        <f>Table2[[#This Row],[Store]] &amp; "_" &amp; TEXT(Table2[[#This Row],[Date]],"yyyy-mm-dd")</f>
        <v>1_2010-10-15</v>
      </c>
      <c r="O38" s="23">
        <f>VLOOKUP($N38,Features!A38:N180,4,FALSE)</f>
        <v>67.180000000000007</v>
      </c>
      <c r="P38" s="27">
        <f>VLOOKUP($N38,Features!A38:N180,11,FALSE)</f>
        <v>211.81374360000001</v>
      </c>
      <c r="Q38" s="23">
        <f>VLOOKUP($N38,Features!A38:N180,14,FALSE)</f>
        <v>0</v>
      </c>
      <c r="R38" s="23" t="str">
        <f>IF(Table2[[#This Row],[3_Week_Forecast]]&lt;Table2[[#This Row],[Weekly_Sales]], "Underforecast", "Overforecast")</f>
        <v>Underforecast</v>
      </c>
      <c r="V38" s="11" t="s">
        <v>53</v>
      </c>
      <c r="W38" s="12">
        <v>3219405.1799999997</v>
      </c>
    </row>
    <row r="39" spans="1:23">
      <c r="A39" s="17">
        <v>1</v>
      </c>
      <c r="B39" s="18">
        <v>1</v>
      </c>
      <c r="C39" s="19">
        <v>40473</v>
      </c>
      <c r="D39" s="20">
        <v>25543.040000000001</v>
      </c>
      <c r="E39" s="21" t="b">
        <v>0</v>
      </c>
      <c r="F39" s="22">
        <f>YEAR(Table2[[#This Row],[Date]])</f>
        <v>2010</v>
      </c>
      <c r="G39" s="22" t="str">
        <f>TEXT(Table2[[#This Row],[Date]],"mmm")</f>
        <v>Oct</v>
      </c>
      <c r="H39" s="22" t="str">
        <f>TEXT(Table2[[#This Row],[Date]],"yyyy-mm")</f>
        <v>2010-10</v>
      </c>
      <c r="I39" s="22">
        <f>WEEKNUM(Table2[[#This Row],[Date]])</f>
        <v>43</v>
      </c>
      <c r="J39" s="23">
        <f>Table2[[#This Row],[Weekly_Sales]]*2</f>
        <v>51086.080000000002</v>
      </c>
      <c r="K39" s="28">
        <f t="shared" si="0"/>
        <v>23486.853333333333</v>
      </c>
      <c r="L39" s="28">
        <f>Table2[[#This Row],[Weekly_Sales]]-Table2[[#This Row],[3_Week_Forecast]]</f>
        <v>2056.1866666666683</v>
      </c>
      <c r="M39" s="28">
        <f>ABS(Table2[[#This Row],[Forecast Error]]/Table2[[#This Row],[Weekly_Sales]])*100</f>
        <v>8.0498901723000404</v>
      </c>
      <c r="N39" s="23" t="str">
        <f>Table2[[#This Row],[Store]] &amp; "_" &amp; TEXT(Table2[[#This Row],[Date]],"yyyy-mm-dd")</f>
        <v>1_2010-10-22</v>
      </c>
      <c r="O39" s="23">
        <f>VLOOKUP($N39,Features!A39:N181,4,FALSE)</f>
        <v>69.86</v>
      </c>
      <c r="P39" s="27">
        <f>VLOOKUP($N39,Features!A39:N181,11,FALSE)</f>
        <v>211.8612937</v>
      </c>
      <c r="Q39" s="23">
        <f>VLOOKUP($N39,Features!A39:N181,14,FALSE)</f>
        <v>0</v>
      </c>
      <c r="R39" s="23" t="str">
        <f>IF(Table2[[#This Row],[3_Week_Forecast]]&lt;Table2[[#This Row],[Weekly_Sales]], "Underforecast", "Overforecast")</f>
        <v>Underforecast</v>
      </c>
    </row>
    <row r="40" spans="1:23">
      <c r="A40" s="17">
        <v>1</v>
      </c>
      <c r="B40" s="18">
        <v>1</v>
      </c>
      <c r="C40" s="19">
        <v>40480</v>
      </c>
      <c r="D40" s="20">
        <v>38640.93</v>
      </c>
      <c r="E40" s="21" t="b">
        <v>0</v>
      </c>
      <c r="F40" s="22">
        <f>YEAR(Table2[[#This Row],[Date]])</f>
        <v>2010</v>
      </c>
      <c r="G40" s="22" t="str">
        <f>TEXT(Table2[[#This Row],[Date]],"mmm")</f>
        <v>Oct</v>
      </c>
      <c r="H40" s="22" t="str">
        <f>TEXT(Table2[[#This Row],[Date]],"yyyy-mm")</f>
        <v>2010-10</v>
      </c>
      <c r="I40" s="22">
        <f>WEEKNUM(Table2[[#This Row],[Date]])</f>
        <v>44</v>
      </c>
      <c r="J40" s="23">
        <f>Table2[[#This Row],[Weekly_Sales]]*2</f>
        <v>77281.86</v>
      </c>
      <c r="K40" s="28">
        <f t="shared" si="0"/>
        <v>25303.136666666669</v>
      </c>
      <c r="L40" s="28">
        <f>Table2[[#This Row],[Weekly_Sales]]-Table2[[#This Row],[3_Week_Forecast]]</f>
        <v>13337.793333333331</v>
      </c>
      <c r="M40" s="28">
        <f>ABS(Table2[[#This Row],[Forecast Error]]/Table2[[#This Row],[Weekly_Sales]])*100</f>
        <v>34.517267915998218</v>
      </c>
      <c r="N40" s="23" t="str">
        <f>Table2[[#This Row],[Store]] &amp; "_" &amp; TEXT(Table2[[#This Row],[Date]],"yyyy-mm-dd")</f>
        <v>1_2010-10-29</v>
      </c>
      <c r="O40" s="23">
        <f>VLOOKUP($N40,Features!A40:N182,4,FALSE)</f>
        <v>69.64</v>
      </c>
      <c r="P40" s="27">
        <f>VLOOKUP($N40,Features!A40:N182,11,FALSE)</f>
        <v>211.9088438</v>
      </c>
      <c r="Q40" s="23">
        <f>VLOOKUP($N40,Features!A40:N182,14,FALSE)</f>
        <v>0</v>
      </c>
      <c r="R40" s="23" t="str">
        <f>IF(Table2[[#This Row],[3_Week_Forecast]]&lt;Table2[[#This Row],[Weekly_Sales]], "Underforecast", "Overforecast")</f>
        <v>Underforecast</v>
      </c>
    </row>
    <row r="41" spans="1:23">
      <c r="A41" s="17">
        <v>1</v>
      </c>
      <c r="B41" s="18">
        <v>1</v>
      </c>
      <c r="C41" s="19">
        <v>40487</v>
      </c>
      <c r="D41" s="20">
        <v>34238.879999999997</v>
      </c>
      <c r="E41" s="21" t="b">
        <v>0</v>
      </c>
      <c r="F41" s="22">
        <f>YEAR(Table2[[#This Row],[Date]])</f>
        <v>2010</v>
      </c>
      <c r="G41" s="22" t="str">
        <f>TEXT(Table2[[#This Row],[Date]],"mmm")</f>
        <v>Nov</v>
      </c>
      <c r="H41" s="22" t="str">
        <f>TEXT(Table2[[#This Row],[Date]],"yyyy-mm")</f>
        <v>2010-11</v>
      </c>
      <c r="I41" s="22">
        <f>WEEKNUM(Table2[[#This Row],[Date]])</f>
        <v>45</v>
      </c>
      <c r="J41" s="23">
        <f>Table2[[#This Row],[Weekly_Sales]]*2</f>
        <v>68477.759999999995</v>
      </c>
      <c r="K41" s="28">
        <f t="shared" si="0"/>
        <v>30387.436666666665</v>
      </c>
      <c r="L41" s="28">
        <f>Table2[[#This Row],[Weekly_Sales]]-Table2[[#This Row],[3_Week_Forecast]]</f>
        <v>3851.4433333333327</v>
      </c>
      <c r="M41" s="28">
        <f>ABS(Table2[[#This Row],[Forecast Error]]/Table2[[#This Row],[Weekly_Sales]])*100</f>
        <v>11.248742170694056</v>
      </c>
      <c r="N41" s="23" t="str">
        <f>Table2[[#This Row],[Store]] &amp; "_" &amp; TEXT(Table2[[#This Row],[Date]],"yyyy-mm-dd")</f>
        <v>1_2010-11-05</v>
      </c>
      <c r="O41" s="23">
        <f>VLOOKUP($N41,Features!A41:N183,4,FALSE)</f>
        <v>58.74</v>
      </c>
      <c r="P41" s="27">
        <f>VLOOKUP($N41,Features!A41:N183,11,FALSE)</f>
        <v>211.95639389999999</v>
      </c>
      <c r="Q41" s="23">
        <f>VLOOKUP($N41,Features!A41:N183,14,FALSE)</f>
        <v>0</v>
      </c>
      <c r="R41" s="23" t="str">
        <f>IF(Table2[[#This Row],[3_Week_Forecast]]&lt;Table2[[#This Row],[Weekly_Sales]], "Underforecast", "Overforecast")</f>
        <v>Underforecast</v>
      </c>
    </row>
    <row r="42" spans="1:23">
      <c r="A42" s="17">
        <v>1</v>
      </c>
      <c r="B42" s="18">
        <v>1</v>
      </c>
      <c r="C42" s="19">
        <v>40494</v>
      </c>
      <c r="D42" s="20">
        <v>19549.39</v>
      </c>
      <c r="E42" s="21" t="b">
        <v>0</v>
      </c>
      <c r="F42" s="22">
        <f>YEAR(Table2[[#This Row],[Date]])</f>
        <v>2010</v>
      </c>
      <c r="G42" s="22" t="str">
        <f>TEXT(Table2[[#This Row],[Date]],"mmm")</f>
        <v>Nov</v>
      </c>
      <c r="H42" s="22" t="str">
        <f>TEXT(Table2[[#This Row],[Date]],"yyyy-mm")</f>
        <v>2010-11</v>
      </c>
      <c r="I42" s="22">
        <f>WEEKNUM(Table2[[#This Row],[Date]])</f>
        <v>46</v>
      </c>
      <c r="J42" s="23">
        <f>Table2[[#This Row],[Weekly_Sales]]*2</f>
        <v>39098.78</v>
      </c>
      <c r="K42" s="28">
        <f t="shared" si="0"/>
        <v>32807.616666666669</v>
      </c>
      <c r="L42" s="28">
        <f>Table2[[#This Row],[Weekly_Sales]]-Table2[[#This Row],[3_Week_Forecast]]</f>
        <v>-13258.226666666669</v>
      </c>
      <c r="M42" s="28">
        <f>ABS(Table2[[#This Row],[Forecast Error]]/Table2[[#This Row],[Weekly_Sales]])*100</f>
        <v>67.819132293471412</v>
      </c>
      <c r="N42" s="23" t="str">
        <f>Table2[[#This Row],[Store]] &amp; "_" &amp; TEXT(Table2[[#This Row],[Date]],"yyyy-mm-dd")</f>
        <v>1_2010-11-12</v>
      </c>
      <c r="O42" s="23">
        <f>VLOOKUP($N42,Features!A42:N184,4,FALSE)</f>
        <v>59.61</v>
      </c>
      <c r="P42" s="27">
        <f>VLOOKUP($N42,Features!A42:N184,11,FALSE)</f>
        <v>212.00394399999999</v>
      </c>
      <c r="Q42" s="23">
        <f>VLOOKUP($N42,Features!A42:N184,14,FALSE)</f>
        <v>0</v>
      </c>
      <c r="R42" s="23" t="str">
        <f>IF(Table2[[#This Row],[3_Week_Forecast]]&lt;Table2[[#This Row],[Weekly_Sales]], "Underforecast", "Overforecast")</f>
        <v>Overforecast</v>
      </c>
    </row>
    <row r="43" spans="1:23">
      <c r="A43" s="17">
        <v>1</v>
      </c>
      <c r="B43" s="18">
        <v>1</v>
      </c>
      <c r="C43" s="19">
        <v>40501</v>
      </c>
      <c r="D43" s="20">
        <v>19552.84</v>
      </c>
      <c r="E43" s="21" t="b">
        <v>0</v>
      </c>
      <c r="F43" s="22">
        <f>YEAR(Table2[[#This Row],[Date]])</f>
        <v>2010</v>
      </c>
      <c r="G43" s="22" t="str">
        <f>TEXT(Table2[[#This Row],[Date]],"mmm")</f>
        <v>Nov</v>
      </c>
      <c r="H43" s="22" t="str">
        <f>TEXT(Table2[[#This Row],[Date]],"yyyy-mm")</f>
        <v>2010-11</v>
      </c>
      <c r="I43" s="22">
        <f>WEEKNUM(Table2[[#This Row],[Date]])</f>
        <v>47</v>
      </c>
      <c r="J43" s="23">
        <f>Table2[[#This Row],[Weekly_Sales]]*2</f>
        <v>39105.68</v>
      </c>
      <c r="K43" s="28">
        <f t="shared" si="0"/>
        <v>30809.733333333334</v>
      </c>
      <c r="L43" s="28">
        <f>Table2[[#This Row],[Weekly_Sales]]-Table2[[#This Row],[3_Week_Forecast]]</f>
        <v>-11256.893333333333</v>
      </c>
      <c r="M43" s="28">
        <f>ABS(Table2[[#This Row],[Forecast Error]]/Table2[[#This Row],[Weekly_Sales]])*100</f>
        <v>57.57165370009335</v>
      </c>
      <c r="N43" s="23" t="str">
        <f>Table2[[#This Row],[Store]] &amp; "_" &amp; TEXT(Table2[[#This Row],[Date]],"yyyy-mm-dd")</f>
        <v>1_2010-11-19</v>
      </c>
      <c r="O43" s="23">
        <f>VLOOKUP($N43,Features!A43:N185,4,FALSE)</f>
        <v>51.41</v>
      </c>
      <c r="P43" s="27">
        <f>VLOOKUP($N43,Features!A43:N185,11,FALSE)</f>
        <v>211.8896737</v>
      </c>
      <c r="Q43" s="23">
        <f>VLOOKUP($N43,Features!A43:N185,14,FALSE)</f>
        <v>0</v>
      </c>
      <c r="R43" s="23" t="str">
        <f>IF(Table2[[#This Row],[3_Week_Forecast]]&lt;Table2[[#This Row],[Weekly_Sales]], "Underforecast", "Overforecast")</f>
        <v>Overforecast</v>
      </c>
    </row>
    <row r="44" spans="1:23">
      <c r="A44" s="17">
        <v>1</v>
      </c>
      <c r="B44" s="18">
        <v>1</v>
      </c>
      <c r="C44" s="19">
        <v>40508</v>
      </c>
      <c r="D44" s="20">
        <v>18820.29</v>
      </c>
      <c r="E44" s="21" t="b">
        <v>1</v>
      </c>
      <c r="F44" s="22">
        <f>YEAR(Table2[[#This Row],[Date]])</f>
        <v>2010</v>
      </c>
      <c r="G44" s="22" t="str">
        <f>TEXT(Table2[[#This Row],[Date]],"mmm")</f>
        <v>Nov</v>
      </c>
      <c r="H44" s="22" t="str">
        <f>TEXT(Table2[[#This Row],[Date]],"yyyy-mm")</f>
        <v>2010-11</v>
      </c>
      <c r="I44" s="22">
        <f>WEEKNUM(Table2[[#This Row],[Date]])</f>
        <v>48</v>
      </c>
      <c r="J44" s="23">
        <f>Table2[[#This Row],[Weekly_Sales]]*2</f>
        <v>37640.58</v>
      </c>
      <c r="K44" s="28">
        <f t="shared" si="0"/>
        <v>24447.036666666667</v>
      </c>
      <c r="L44" s="28">
        <f>Table2[[#This Row],[Weekly_Sales]]-Table2[[#This Row],[3_Week_Forecast]]</f>
        <v>-5626.746666666666</v>
      </c>
      <c r="M44" s="28">
        <f>ABS(Table2[[#This Row],[Forecast Error]]/Table2[[#This Row],[Weekly_Sales]])*100</f>
        <v>29.897236794261222</v>
      </c>
      <c r="N44" s="23" t="str">
        <f>Table2[[#This Row],[Store]] &amp; "_" &amp; TEXT(Table2[[#This Row],[Date]],"yyyy-mm-dd")</f>
        <v>1_2010-11-26</v>
      </c>
      <c r="O44" s="23">
        <f>VLOOKUP($N44,Features!A44:N186,4,FALSE)</f>
        <v>64.52</v>
      </c>
      <c r="P44" s="27">
        <f>VLOOKUP($N44,Features!A44:N186,11,FALSE)</f>
        <v>211.74843329999999</v>
      </c>
      <c r="Q44" s="23">
        <f>VLOOKUP($N44,Features!A44:N186,14,FALSE)</f>
        <v>0</v>
      </c>
      <c r="R44" s="23" t="str">
        <f>IF(Table2[[#This Row],[3_Week_Forecast]]&lt;Table2[[#This Row],[Weekly_Sales]], "Underforecast", "Overforecast")</f>
        <v>Overforecast</v>
      </c>
    </row>
    <row r="45" spans="1:23">
      <c r="A45" s="17">
        <v>1</v>
      </c>
      <c r="B45" s="18">
        <v>1</v>
      </c>
      <c r="C45" s="19">
        <v>40515</v>
      </c>
      <c r="D45" s="20">
        <v>22517.56</v>
      </c>
      <c r="E45" s="21" t="b">
        <v>0</v>
      </c>
      <c r="F45" s="22">
        <f>YEAR(Table2[[#This Row],[Date]])</f>
        <v>2010</v>
      </c>
      <c r="G45" s="22" t="str">
        <f>TEXT(Table2[[#This Row],[Date]],"mmm")</f>
        <v>Dec</v>
      </c>
      <c r="H45" s="22" t="str">
        <f>TEXT(Table2[[#This Row],[Date]],"yyyy-mm")</f>
        <v>2010-12</v>
      </c>
      <c r="I45" s="22">
        <f>WEEKNUM(Table2[[#This Row],[Date]])</f>
        <v>49</v>
      </c>
      <c r="J45" s="23">
        <f>Table2[[#This Row],[Weekly_Sales]]*2</f>
        <v>45035.12</v>
      </c>
      <c r="K45" s="28">
        <f t="shared" si="0"/>
        <v>19307.506666666664</v>
      </c>
      <c r="L45" s="28">
        <f>Table2[[#This Row],[Weekly_Sales]]-Table2[[#This Row],[3_Week_Forecast]]</f>
        <v>3210.0533333333369</v>
      </c>
      <c r="M45" s="28">
        <f>ABS(Table2[[#This Row],[Forecast Error]]/Table2[[#This Row],[Weekly_Sales]])*100</f>
        <v>14.255777861070811</v>
      </c>
      <c r="N45" s="23" t="str">
        <f>Table2[[#This Row],[Store]] &amp; "_" &amp; TEXT(Table2[[#This Row],[Date]],"yyyy-mm-dd")</f>
        <v>1_2010-12-03</v>
      </c>
      <c r="O45" s="23">
        <f>VLOOKUP($N45,Features!A45:N187,4,FALSE)</f>
        <v>49.27</v>
      </c>
      <c r="P45" s="27">
        <f>VLOOKUP($N45,Features!A45:N187,11,FALSE)</f>
        <v>211.607193</v>
      </c>
      <c r="Q45" s="23">
        <f>VLOOKUP($N45,Features!A45:N187,14,FALSE)</f>
        <v>0</v>
      </c>
      <c r="R45" s="23" t="str">
        <f>IF(Table2[[#This Row],[3_Week_Forecast]]&lt;Table2[[#This Row],[Weekly_Sales]], "Underforecast", "Overforecast")</f>
        <v>Underforecast</v>
      </c>
    </row>
    <row r="46" spans="1:23">
      <c r="A46" s="17">
        <v>1</v>
      </c>
      <c r="B46" s="18">
        <v>1</v>
      </c>
      <c r="C46" s="19">
        <v>40522</v>
      </c>
      <c r="D46" s="20">
        <v>31497.65</v>
      </c>
      <c r="E46" s="21" t="b">
        <v>0</v>
      </c>
      <c r="F46" s="22">
        <f>YEAR(Table2[[#This Row],[Date]])</f>
        <v>2010</v>
      </c>
      <c r="G46" s="22" t="str">
        <f>TEXT(Table2[[#This Row],[Date]],"mmm")</f>
        <v>Dec</v>
      </c>
      <c r="H46" s="22" t="str">
        <f>TEXT(Table2[[#This Row],[Date]],"yyyy-mm")</f>
        <v>2010-12</v>
      </c>
      <c r="I46" s="22">
        <f>WEEKNUM(Table2[[#This Row],[Date]])</f>
        <v>50</v>
      </c>
      <c r="J46" s="23">
        <f>Table2[[#This Row],[Weekly_Sales]]*2</f>
        <v>62995.3</v>
      </c>
      <c r="K46" s="28">
        <f t="shared" si="0"/>
        <v>20296.896666666667</v>
      </c>
      <c r="L46" s="28">
        <f>Table2[[#This Row],[Weekly_Sales]]-Table2[[#This Row],[3_Week_Forecast]]</f>
        <v>11200.753333333334</v>
      </c>
      <c r="M46" s="28">
        <f>ABS(Table2[[#This Row],[Forecast Error]]/Table2[[#This Row],[Weekly_Sales]])*100</f>
        <v>35.56060002359964</v>
      </c>
      <c r="N46" s="23" t="str">
        <f>Table2[[#This Row],[Store]] &amp; "_" &amp; TEXT(Table2[[#This Row],[Date]],"yyyy-mm-dd")</f>
        <v>1_2010-12-10</v>
      </c>
      <c r="O46" s="23">
        <f>VLOOKUP($N46,Features!A46:N188,4,FALSE)</f>
        <v>46.33</v>
      </c>
      <c r="P46" s="27">
        <f>VLOOKUP($N46,Features!A46:N188,11,FALSE)</f>
        <v>211.46595260000001</v>
      </c>
      <c r="Q46" s="23">
        <f>VLOOKUP($N46,Features!A46:N188,14,FALSE)</f>
        <v>0</v>
      </c>
      <c r="R46" s="23" t="str">
        <f>IF(Table2[[#This Row],[3_Week_Forecast]]&lt;Table2[[#This Row],[Weekly_Sales]], "Underforecast", "Overforecast")</f>
        <v>Underforecast</v>
      </c>
    </row>
    <row r="47" spans="1:23">
      <c r="A47" s="17">
        <v>1</v>
      </c>
      <c r="B47" s="18">
        <v>1</v>
      </c>
      <c r="C47" s="19">
        <v>40529</v>
      </c>
      <c r="D47" s="20">
        <v>44912.86</v>
      </c>
      <c r="E47" s="21" t="b">
        <v>0</v>
      </c>
      <c r="F47" s="22">
        <f>YEAR(Table2[[#This Row],[Date]])</f>
        <v>2010</v>
      </c>
      <c r="G47" s="22" t="str">
        <f>TEXT(Table2[[#This Row],[Date]],"mmm")</f>
        <v>Dec</v>
      </c>
      <c r="H47" s="22" t="str">
        <f>TEXT(Table2[[#This Row],[Date]],"yyyy-mm")</f>
        <v>2010-12</v>
      </c>
      <c r="I47" s="22">
        <f>WEEKNUM(Table2[[#This Row],[Date]])</f>
        <v>51</v>
      </c>
      <c r="J47" s="23">
        <f>Table2[[#This Row],[Weekly_Sales]]*2</f>
        <v>89825.72</v>
      </c>
      <c r="K47" s="28">
        <f t="shared" si="0"/>
        <v>24278.5</v>
      </c>
      <c r="L47" s="28">
        <f>Table2[[#This Row],[Weekly_Sales]]-Table2[[#This Row],[3_Week_Forecast]]</f>
        <v>20634.36</v>
      </c>
      <c r="M47" s="28">
        <f>ABS(Table2[[#This Row],[Forecast Error]]/Table2[[#This Row],[Weekly_Sales]])*100</f>
        <v>45.943099593301341</v>
      </c>
      <c r="N47" s="23" t="str">
        <f>Table2[[#This Row],[Store]] &amp; "_" &amp; TEXT(Table2[[#This Row],[Date]],"yyyy-mm-dd")</f>
        <v>1_2010-12-17</v>
      </c>
      <c r="O47" s="23">
        <f>VLOOKUP($N47,Features!A47:N189,4,FALSE)</f>
        <v>49.84</v>
      </c>
      <c r="P47" s="27">
        <f>VLOOKUP($N47,Features!A47:N189,11,FALSE)</f>
        <v>211.40531240000001</v>
      </c>
      <c r="Q47" s="23">
        <f>VLOOKUP($N47,Features!A47:N189,14,FALSE)</f>
        <v>0</v>
      </c>
      <c r="R47" s="23" t="str">
        <f>IF(Table2[[#This Row],[3_Week_Forecast]]&lt;Table2[[#This Row],[Weekly_Sales]], "Underforecast", "Overforecast")</f>
        <v>Underforecast</v>
      </c>
    </row>
    <row r="48" spans="1:23">
      <c r="A48" s="17">
        <v>1</v>
      </c>
      <c r="B48" s="18">
        <v>1</v>
      </c>
      <c r="C48" s="19">
        <v>40536</v>
      </c>
      <c r="D48" s="20">
        <v>55931.23</v>
      </c>
      <c r="E48" s="21" t="b">
        <v>0</v>
      </c>
      <c r="F48" s="22">
        <f>YEAR(Table2[[#This Row],[Date]])</f>
        <v>2010</v>
      </c>
      <c r="G48" s="22" t="str">
        <f>TEXT(Table2[[#This Row],[Date]],"mmm")</f>
        <v>Dec</v>
      </c>
      <c r="H48" s="22" t="str">
        <f>TEXT(Table2[[#This Row],[Date]],"yyyy-mm")</f>
        <v>2010-12</v>
      </c>
      <c r="I48" s="22">
        <f>WEEKNUM(Table2[[#This Row],[Date]])</f>
        <v>52</v>
      </c>
      <c r="J48" s="23">
        <f>Table2[[#This Row],[Weekly_Sales]]*2</f>
        <v>111862.46</v>
      </c>
      <c r="K48" s="28">
        <f t="shared" si="0"/>
        <v>32976.023333333338</v>
      </c>
      <c r="L48" s="28">
        <f>Table2[[#This Row],[Weekly_Sales]]-Table2[[#This Row],[3_Week_Forecast]]</f>
        <v>22955.206666666665</v>
      </c>
      <c r="M48" s="28">
        <f>ABS(Table2[[#This Row],[Forecast Error]]/Table2[[#This Row],[Weekly_Sales]])*100</f>
        <v>41.0418413231153</v>
      </c>
      <c r="N48" s="23" t="str">
        <f>Table2[[#This Row],[Store]] &amp; "_" &amp; TEXT(Table2[[#This Row],[Date]],"yyyy-mm-dd")</f>
        <v>1_2010-12-24</v>
      </c>
      <c r="O48" s="23">
        <f>VLOOKUP($N48,Features!A48:N190,4,FALSE)</f>
        <v>52.33</v>
      </c>
      <c r="P48" s="27">
        <f>VLOOKUP($N48,Features!A48:N190,11,FALSE)</f>
        <v>211.40512219999999</v>
      </c>
      <c r="Q48" s="23">
        <f>VLOOKUP($N48,Features!A48:N190,14,FALSE)</f>
        <v>0</v>
      </c>
      <c r="R48" s="23" t="str">
        <f>IF(Table2[[#This Row],[3_Week_Forecast]]&lt;Table2[[#This Row],[Weekly_Sales]], "Underforecast", "Overforecast")</f>
        <v>Underforecast</v>
      </c>
    </row>
    <row r="49" spans="1:18">
      <c r="A49" s="17">
        <v>1</v>
      </c>
      <c r="B49" s="18">
        <v>1</v>
      </c>
      <c r="C49" s="19">
        <v>40543</v>
      </c>
      <c r="D49" s="20">
        <v>19124.580000000002</v>
      </c>
      <c r="E49" s="21" t="b">
        <v>1</v>
      </c>
      <c r="F49" s="22">
        <f>YEAR(Table2[[#This Row],[Date]])</f>
        <v>2010</v>
      </c>
      <c r="G49" s="22" t="str">
        <f>TEXT(Table2[[#This Row],[Date]],"mmm")</f>
        <v>Dec</v>
      </c>
      <c r="H49" s="22" t="str">
        <f>TEXT(Table2[[#This Row],[Date]],"yyyy-mm")</f>
        <v>2010-12</v>
      </c>
      <c r="I49" s="22">
        <f>WEEKNUM(Table2[[#This Row],[Date]])</f>
        <v>53</v>
      </c>
      <c r="J49" s="23">
        <f>Table2[[#This Row],[Weekly_Sales]]*2</f>
        <v>38249.160000000003</v>
      </c>
      <c r="K49" s="28">
        <f t="shared" si="0"/>
        <v>44113.913333333338</v>
      </c>
      <c r="L49" s="28">
        <f>Table2[[#This Row],[Weekly_Sales]]-Table2[[#This Row],[3_Week_Forecast]]</f>
        <v>-24989.333333333336</v>
      </c>
      <c r="M49" s="28">
        <f>ABS(Table2[[#This Row],[Forecast Error]]/Table2[[#This Row],[Weekly_Sales]])*100</f>
        <v>130.66605035683571</v>
      </c>
      <c r="N49" s="23" t="str">
        <f>Table2[[#This Row],[Store]] &amp; "_" &amp; TEXT(Table2[[#This Row],[Date]],"yyyy-mm-dd")</f>
        <v>1_2010-12-31</v>
      </c>
      <c r="O49" s="23">
        <f>VLOOKUP($N49,Features!A49:N191,4,FALSE)</f>
        <v>48.43</v>
      </c>
      <c r="P49" s="27">
        <f>VLOOKUP($N49,Features!A49:N191,11,FALSE)</f>
        <v>211.4049321</v>
      </c>
      <c r="Q49" s="23">
        <f>VLOOKUP($N49,Features!A49:N191,14,FALSE)</f>
        <v>0</v>
      </c>
      <c r="R49" s="23" t="str">
        <f>IF(Table2[[#This Row],[3_Week_Forecast]]&lt;Table2[[#This Row],[Weekly_Sales]], "Underforecast", "Overforecast")</f>
        <v>Overforecast</v>
      </c>
    </row>
    <row r="50" spans="1:18">
      <c r="A50" s="17">
        <v>1</v>
      </c>
      <c r="B50" s="18">
        <v>1</v>
      </c>
      <c r="C50" s="19">
        <v>40550</v>
      </c>
      <c r="D50" s="20">
        <v>15984.24</v>
      </c>
      <c r="E50" s="21" t="b">
        <v>0</v>
      </c>
      <c r="F50" s="22">
        <f>YEAR(Table2[[#This Row],[Date]])</f>
        <v>2011</v>
      </c>
      <c r="G50" s="22" t="str">
        <f>TEXT(Table2[[#This Row],[Date]],"mmm")</f>
        <v>Jan</v>
      </c>
      <c r="H50" s="22" t="str">
        <f>TEXT(Table2[[#This Row],[Date]],"yyyy-mm")</f>
        <v>2011-01</v>
      </c>
      <c r="I50" s="22">
        <f>WEEKNUM(Table2[[#This Row],[Date]])</f>
        <v>2</v>
      </c>
      <c r="J50" s="23">
        <f>Table2[[#This Row],[Weekly_Sales]]*2</f>
        <v>31968.48</v>
      </c>
      <c r="K50" s="28">
        <f t="shared" si="0"/>
        <v>39989.556666666664</v>
      </c>
      <c r="L50" s="28">
        <f>Table2[[#This Row],[Weekly_Sales]]-Table2[[#This Row],[3_Week_Forecast]]</f>
        <v>-24005.316666666666</v>
      </c>
      <c r="M50" s="28">
        <f>ABS(Table2[[#This Row],[Forecast Error]]/Table2[[#This Row],[Weekly_Sales]])*100</f>
        <v>150.18115760690947</v>
      </c>
      <c r="N50" s="23" t="str">
        <f>Table2[[#This Row],[Store]] &amp; "_" &amp; TEXT(Table2[[#This Row],[Date]],"yyyy-mm-dd")</f>
        <v>1_2011-01-07</v>
      </c>
      <c r="O50" s="23">
        <f>VLOOKUP($N50,Features!A50:N192,4,FALSE)</f>
        <v>48.27</v>
      </c>
      <c r="P50" s="27">
        <f>VLOOKUP($N50,Features!A50:N192,11,FALSE)</f>
        <v>211.4047419</v>
      </c>
      <c r="Q50" s="23">
        <f>VLOOKUP($N50,Features!A50:N192,14,FALSE)</f>
        <v>0</v>
      </c>
      <c r="R50" s="23" t="str">
        <f>IF(Table2[[#This Row],[3_Week_Forecast]]&lt;Table2[[#This Row],[Weekly_Sales]], "Underforecast", "Overforecast")</f>
        <v>Overforecast</v>
      </c>
    </row>
    <row r="51" spans="1:18">
      <c r="A51" s="17">
        <v>1</v>
      </c>
      <c r="B51" s="18">
        <v>1</v>
      </c>
      <c r="C51" s="19">
        <v>40557</v>
      </c>
      <c r="D51" s="20">
        <v>17359.7</v>
      </c>
      <c r="E51" s="21" t="b">
        <v>0</v>
      </c>
      <c r="F51" s="22">
        <f>YEAR(Table2[[#This Row],[Date]])</f>
        <v>2011</v>
      </c>
      <c r="G51" s="22" t="str">
        <f>TEXT(Table2[[#This Row],[Date]],"mmm")</f>
        <v>Jan</v>
      </c>
      <c r="H51" s="22" t="str">
        <f>TEXT(Table2[[#This Row],[Date]],"yyyy-mm")</f>
        <v>2011-01</v>
      </c>
      <c r="I51" s="22">
        <f>WEEKNUM(Table2[[#This Row],[Date]])</f>
        <v>3</v>
      </c>
      <c r="J51" s="23">
        <f>Table2[[#This Row],[Weekly_Sales]]*2</f>
        <v>34719.4</v>
      </c>
      <c r="K51" s="28">
        <f t="shared" si="0"/>
        <v>30346.683333333334</v>
      </c>
      <c r="L51" s="28">
        <f>Table2[[#This Row],[Weekly_Sales]]-Table2[[#This Row],[3_Week_Forecast]]</f>
        <v>-12986.983333333334</v>
      </c>
      <c r="M51" s="28">
        <f>ABS(Table2[[#This Row],[Forecast Error]]/Table2[[#This Row],[Weekly_Sales]])*100</f>
        <v>74.811104646585676</v>
      </c>
      <c r="N51" s="23" t="str">
        <f>Table2[[#This Row],[Store]] &amp; "_" &amp; TEXT(Table2[[#This Row],[Date]],"yyyy-mm-dd")</f>
        <v>1_2011-01-14</v>
      </c>
      <c r="O51" s="23">
        <f>VLOOKUP($N51,Features!A51:N193,4,FALSE)</f>
        <v>35.4</v>
      </c>
      <c r="P51" s="27">
        <f>VLOOKUP($N51,Features!A51:N193,11,FALSE)</f>
        <v>211.45741090000001</v>
      </c>
      <c r="Q51" s="23">
        <f>VLOOKUP($N51,Features!A51:N193,14,FALSE)</f>
        <v>0</v>
      </c>
      <c r="R51" s="23" t="str">
        <f>IF(Table2[[#This Row],[3_Week_Forecast]]&lt;Table2[[#This Row],[Weekly_Sales]], "Underforecast", "Overforecast")</f>
        <v>Overforecast</v>
      </c>
    </row>
    <row r="52" spans="1:18">
      <c r="A52" s="17">
        <v>1</v>
      </c>
      <c r="B52" s="18">
        <v>1</v>
      </c>
      <c r="C52" s="19">
        <v>40564</v>
      </c>
      <c r="D52" s="20">
        <v>17341.47</v>
      </c>
      <c r="E52" s="21" t="b">
        <v>0</v>
      </c>
      <c r="F52" s="22">
        <f>YEAR(Table2[[#This Row],[Date]])</f>
        <v>2011</v>
      </c>
      <c r="G52" s="22" t="str">
        <f>TEXT(Table2[[#This Row],[Date]],"mmm")</f>
        <v>Jan</v>
      </c>
      <c r="H52" s="22" t="str">
        <f>TEXT(Table2[[#This Row],[Date]],"yyyy-mm")</f>
        <v>2011-01</v>
      </c>
      <c r="I52" s="22">
        <f>WEEKNUM(Table2[[#This Row],[Date]])</f>
        <v>4</v>
      </c>
      <c r="J52" s="23">
        <f>Table2[[#This Row],[Weekly_Sales]]*2</f>
        <v>34682.94</v>
      </c>
      <c r="K52" s="28">
        <f t="shared" si="0"/>
        <v>17489.506666666668</v>
      </c>
      <c r="L52" s="28">
        <f>Table2[[#This Row],[Weekly_Sales]]-Table2[[#This Row],[3_Week_Forecast]]</f>
        <v>-148.03666666666686</v>
      </c>
      <c r="M52" s="28">
        <f>ABS(Table2[[#This Row],[Forecast Error]]/Table2[[#This Row],[Weekly_Sales]])*100</f>
        <v>0.85365696602806362</v>
      </c>
      <c r="N52" s="23" t="str">
        <f>Table2[[#This Row],[Store]] &amp; "_" &amp; TEXT(Table2[[#This Row],[Date]],"yyyy-mm-dd")</f>
        <v>1_2011-01-21</v>
      </c>
      <c r="O52" s="23">
        <f>VLOOKUP($N52,Features!A52:N194,4,FALSE)</f>
        <v>44.04</v>
      </c>
      <c r="P52" s="27">
        <f>VLOOKUP($N52,Features!A52:N194,11,FALSE)</f>
        <v>211.82723429999999</v>
      </c>
      <c r="Q52" s="23">
        <f>VLOOKUP($N52,Features!A52:N194,14,FALSE)</f>
        <v>0</v>
      </c>
      <c r="R52" s="23" t="str">
        <f>IF(Table2[[#This Row],[3_Week_Forecast]]&lt;Table2[[#This Row],[Weekly_Sales]], "Underforecast", "Overforecast")</f>
        <v>Overforecast</v>
      </c>
    </row>
    <row r="53" spans="1:18">
      <c r="A53" s="17">
        <v>1</v>
      </c>
      <c r="B53" s="18">
        <v>1</v>
      </c>
      <c r="C53" s="19">
        <v>40571</v>
      </c>
      <c r="D53" s="20">
        <v>18461.18</v>
      </c>
      <c r="E53" s="21" t="b">
        <v>0</v>
      </c>
      <c r="F53" s="22">
        <f>YEAR(Table2[[#This Row],[Date]])</f>
        <v>2011</v>
      </c>
      <c r="G53" s="22" t="str">
        <f>TEXT(Table2[[#This Row],[Date]],"mmm")</f>
        <v>Jan</v>
      </c>
      <c r="H53" s="22" t="str">
        <f>TEXT(Table2[[#This Row],[Date]],"yyyy-mm")</f>
        <v>2011-01</v>
      </c>
      <c r="I53" s="22">
        <f>WEEKNUM(Table2[[#This Row],[Date]])</f>
        <v>5</v>
      </c>
      <c r="J53" s="23">
        <f>Table2[[#This Row],[Weekly_Sales]]*2</f>
        <v>36922.36</v>
      </c>
      <c r="K53" s="28">
        <f t="shared" si="0"/>
        <v>16895.136666666669</v>
      </c>
      <c r="L53" s="28">
        <f>Table2[[#This Row],[Weekly_Sales]]-Table2[[#This Row],[3_Week_Forecast]]</f>
        <v>1566.0433333333312</v>
      </c>
      <c r="M53" s="28">
        <f>ABS(Table2[[#This Row],[Forecast Error]]/Table2[[#This Row],[Weekly_Sales]])*100</f>
        <v>8.4828994318528466</v>
      </c>
      <c r="N53" s="23" t="str">
        <f>Table2[[#This Row],[Store]] &amp; "_" &amp; TEXT(Table2[[#This Row],[Date]],"yyyy-mm-dd")</f>
        <v>1_2011-01-28</v>
      </c>
      <c r="O53" s="23">
        <f>VLOOKUP($N53,Features!A53:N195,4,FALSE)</f>
        <v>43.83</v>
      </c>
      <c r="P53" s="27">
        <f>VLOOKUP($N53,Features!A53:N195,11,FALSE)</f>
        <v>212.19705769999999</v>
      </c>
      <c r="Q53" s="23">
        <f>VLOOKUP($N53,Features!A53:N195,14,FALSE)</f>
        <v>0</v>
      </c>
      <c r="R53" s="23" t="str">
        <f>IF(Table2[[#This Row],[3_Week_Forecast]]&lt;Table2[[#This Row],[Weekly_Sales]], "Underforecast", "Overforecast")</f>
        <v>Underforecast</v>
      </c>
    </row>
    <row r="54" spans="1:18">
      <c r="A54" s="17">
        <v>1</v>
      </c>
      <c r="B54" s="18">
        <v>1</v>
      </c>
      <c r="C54" s="19">
        <v>40578</v>
      </c>
      <c r="D54" s="20">
        <v>21665.759999999998</v>
      </c>
      <c r="E54" s="21" t="b">
        <v>0</v>
      </c>
      <c r="F54" s="22">
        <f>YEAR(Table2[[#This Row],[Date]])</f>
        <v>2011</v>
      </c>
      <c r="G54" s="22" t="str">
        <f>TEXT(Table2[[#This Row],[Date]],"mmm")</f>
        <v>Feb</v>
      </c>
      <c r="H54" s="22" t="str">
        <f>TEXT(Table2[[#This Row],[Date]],"yyyy-mm")</f>
        <v>2011-02</v>
      </c>
      <c r="I54" s="22">
        <f>WEEKNUM(Table2[[#This Row],[Date]])</f>
        <v>6</v>
      </c>
      <c r="J54" s="23">
        <f>Table2[[#This Row],[Weekly_Sales]]*2</f>
        <v>43331.519999999997</v>
      </c>
      <c r="K54" s="28">
        <f t="shared" si="0"/>
        <v>17720.783333333333</v>
      </c>
      <c r="L54" s="28">
        <f>Table2[[#This Row],[Weekly_Sales]]-Table2[[#This Row],[3_Week_Forecast]]</f>
        <v>3944.9766666666656</v>
      </c>
      <c r="M54" s="28">
        <f>ABS(Table2[[#This Row],[Forecast Error]]/Table2[[#This Row],[Weekly_Sales]])*100</f>
        <v>18.208346564656242</v>
      </c>
      <c r="N54" s="23" t="str">
        <f>Table2[[#This Row],[Store]] &amp; "_" &amp; TEXT(Table2[[#This Row],[Date]],"yyyy-mm-dd")</f>
        <v>1_2011-02-04</v>
      </c>
      <c r="O54" s="23">
        <f>VLOOKUP($N54,Features!A54:N196,4,FALSE)</f>
        <v>42.27</v>
      </c>
      <c r="P54" s="27">
        <f>VLOOKUP($N54,Features!A54:N196,11,FALSE)</f>
        <v>212.56688120000001</v>
      </c>
      <c r="Q54" s="23">
        <f>VLOOKUP($N54,Features!A54:N196,14,FALSE)</f>
        <v>0</v>
      </c>
      <c r="R54" s="23" t="str">
        <f>IF(Table2[[#This Row],[3_Week_Forecast]]&lt;Table2[[#This Row],[Weekly_Sales]], "Underforecast", "Overforecast")</f>
        <v>Underforecast</v>
      </c>
    </row>
    <row r="55" spans="1:18">
      <c r="A55" s="17">
        <v>1</v>
      </c>
      <c r="B55" s="18">
        <v>1</v>
      </c>
      <c r="C55" s="19">
        <v>40585</v>
      </c>
      <c r="D55" s="20">
        <v>37887.17</v>
      </c>
      <c r="E55" s="21" t="b">
        <v>1</v>
      </c>
      <c r="F55" s="22">
        <f>YEAR(Table2[[#This Row],[Date]])</f>
        <v>2011</v>
      </c>
      <c r="G55" s="22" t="str">
        <f>TEXT(Table2[[#This Row],[Date]],"mmm")</f>
        <v>Feb</v>
      </c>
      <c r="H55" s="22" t="str">
        <f>TEXT(Table2[[#This Row],[Date]],"yyyy-mm")</f>
        <v>2011-02</v>
      </c>
      <c r="I55" s="22">
        <f>WEEKNUM(Table2[[#This Row],[Date]])</f>
        <v>7</v>
      </c>
      <c r="J55" s="23">
        <f>Table2[[#This Row],[Weekly_Sales]]*2</f>
        <v>75774.34</v>
      </c>
      <c r="K55" s="28">
        <f t="shared" si="0"/>
        <v>19156.136666666669</v>
      </c>
      <c r="L55" s="28">
        <f>Table2[[#This Row],[Weekly_Sales]]-Table2[[#This Row],[3_Week_Forecast]]</f>
        <v>18731.033333333329</v>
      </c>
      <c r="M55" s="28">
        <f>ABS(Table2[[#This Row],[Forecast Error]]/Table2[[#This Row],[Weekly_Sales]])*100</f>
        <v>49.438987745279817</v>
      </c>
      <c r="N55" s="23" t="str">
        <f>Table2[[#This Row],[Store]] &amp; "_" &amp; TEXT(Table2[[#This Row],[Date]],"yyyy-mm-dd")</f>
        <v>1_2011-02-11</v>
      </c>
      <c r="O55" s="23">
        <f>VLOOKUP($N55,Features!A55:N197,4,FALSE)</f>
        <v>36.39</v>
      </c>
      <c r="P55" s="27">
        <f>VLOOKUP($N55,Features!A55:N197,11,FALSE)</f>
        <v>212.93670460000001</v>
      </c>
      <c r="Q55" s="23">
        <f>VLOOKUP($N55,Features!A55:N197,14,FALSE)</f>
        <v>0</v>
      </c>
      <c r="R55" s="23" t="str">
        <f>IF(Table2[[#This Row],[3_Week_Forecast]]&lt;Table2[[#This Row],[Weekly_Sales]], "Underforecast", "Overforecast")</f>
        <v>Underforecast</v>
      </c>
    </row>
    <row r="56" spans="1:18">
      <c r="A56" s="17">
        <v>1</v>
      </c>
      <c r="B56" s="18">
        <v>1</v>
      </c>
      <c r="C56" s="19">
        <v>40592</v>
      </c>
      <c r="D56" s="20">
        <v>46845.87</v>
      </c>
      <c r="E56" s="21" t="b">
        <v>0</v>
      </c>
      <c r="F56" s="22">
        <f>YEAR(Table2[[#This Row],[Date]])</f>
        <v>2011</v>
      </c>
      <c r="G56" s="22" t="str">
        <f>TEXT(Table2[[#This Row],[Date]],"mmm")</f>
        <v>Feb</v>
      </c>
      <c r="H56" s="22" t="str">
        <f>TEXT(Table2[[#This Row],[Date]],"yyyy-mm")</f>
        <v>2011-02</v>
      </c>
      <c r="I56" s="22">
        <f>WEEKNUM(Table2[[#This Row],[Date]])</f>
        <v>8</v>
      </c>
      <c r="J56" s="23">
        <f>Table2[[#This Row],[Weekly_Sales]]*2</f>
        <v>93691.74</v>
      </c>
      <c r="K56" s="28">
        <f t="shared" si="0"/>
        <v>26004.703333333335</v>
      </c>
      <c r="L56" s="28">
        <f>Table2[[#This Row],[Weekly_Sales]]-Table2[[#This Row],[3_Week_Forecast]]</f>
        <v>20841.166666666668</v>
      </c>
      <c r="M56" s="28">
        <f>ABS(Table2[[#This Row],[Forecast Error]]/Table2[[#This Row],[Weekly_Sales]])*100</f>
        <v>44.488802677091208</v>
      </c>
      <c r="N56" s="23" t="str">
        <f>Table2[[#This Row],[Store]] &amp; "_" &amp; TEXT(Table2[[#This Row],[Date]],"yyyy-mm-dd")</f>
        <v>1_2011-02-18</v>
      </c>
      <c r="O56" s="23">
        <f>VLOOKUP($N56,Features!A56:N198,4,FALSE)</f>
        <v>57.36</v>
      </c>
      <c r="P56" s="27">
        <f>VLOOKUP($N56,Features!A56:N198,11,FALSE)</f>
        <v>213.24788530000001</v>
      </c>
      <c r="Q56" s="23">
        <f>VLOOKUP($N56,Features!A56:N198,14,FALSE)</f>
        <v>0</v>
      </c>
      <c r="R56" s="23" t="str">
        <f>IF(Table2[[#This Row],[3_Week_Forecast]]&lt;Table2[[#This Row],[Weekly_Sales]], "Underforecast", "Overforecast")</f>
        <v>Underforecast</v>
      </c>
    </row>
    <row r="57" spans="1:18">
      <c r="A57" s="17">
        <v>1</v>
      </c>
      <c r="B57" s="18">
        <v>1</v>
      </c>
      <c r="C57" s="19">
        <v>40599</v>
      </c>
      <c r="D57" s="20">
        <v>19363.830000000002</v>
      </c>
      <c r="E57" s="21" t="b">
        <v>0</v>
      </c>
      <c r="F57" s="22">
        <f>YEAR(Table2[[#This Row],[Date]])</f>
        <v>2011</v>
      </c>
      <c r="G57" s="22" t="str">
        <f>TEXT(Table2[[#This Row],[Date]],"mmm")</f>
        <v>Feb</v>
      </c>
      <c r="H57" s="22" t="str">
        <f>TEXT(Table2[[#This Row],[Date]],"yyyy-mm")</f>
        <v>2011-02</v>
      </c>
      <c r="I57" s="22">
        <f>WEEKNUM(Table2[[#This Row],[Date]])</f>
        <v>9</v>
      </c>
      <c r="J57" s="23">
        <f>Table2[[#This Row],[Weekly_Sales]]*2</f>
        <v>38727.660000000003</v>
      </c>
      <c r="K57" s="28">
        <f t="shared" si="0"/>
        <v>35466.266666666663</v>
      </c>
      <c r="L57" s="28">
        <f>Table2[[#This Row],[Weekly_Sales]]-Table2[[#This Row],[3_Week_Forecast]]</f>
        <v>-16102.436666666661</v>
      </c>
      <c r="M57" s="28">
        <f>ABS(Table2[[#This Row],[Forecast Error]]/Table2[[#This Row],[Weekly_Sales]])*100</f>
        <v>83.157292057752301</v>
      </c>
      <c r="N57" s="23" t="str">
        <f>Table2[[#This Row],[Store]] &amp; "_" &amp; TEXT(Table2[[#This Row],[Date]],"yyyy-mm-dd")</f>
        <v>1_2011-02-25</v>
      </c>
      <c r="O57" s="23">
        <f>VLOOKUP($N57,Features!A57:N199,4,FALSE)</f>
        <v>62.9</v>
      </c>
      <c r="P57" s="27">
        <f>VLOOKUP($N57,Features!A57:N199,11,FALSE)</f>
        <v>213.53560899999999</v>
      </c>
      <c r="Q57" s="23">
        <f>VLOOKUP($N57,Features!A57:N199,14,FALSE)</f>
        <v>0</v>
      </c>
      <c r="R57" s="23" t="str">
        <f>IF(Table2[[#This Row],[3_Week_Forecast]]&lt;Table2[[#This Row],[Weekly_Sales]], "Underforecast", "Overforecast")</f>
        <v>Overforecast</v>
      </c>
    </row>
    <row r="58" spans="1:18">
      <c r="A58" s="17">
        <v>1</v>
      </c>
      <c r="B58" s="18">
        <v>1</v>
      </c>
      <c r="C58" s="19">
        <v>40606</v>
      </c>
      <c r="D58" s="20">
        <v>20327.61</v>
      </c>
      <c r="E58" s="21" t="b">
        <v>0</v>
      </c>
      <c r="F58" s="22">
        <f>YEAR(Table2[[#This Row],[Date]])</f>
        <v>2011</v>
      </c>
      <c r="G58" s="22" t="str">
        <f>TEXT(Table2[[#This Row],[Date]],"mmm")</f>
        <v>Mar</v>
      </c>
      <c r="H58" s="22" t="str">
        <f>TEXT(Table2[[#This Row],[Date]],"yyyy-mm")</f>
        <v>2011-03</v>
      </c>
      <c r="I58" s="22">
        <f>WEEKNUM(Table2[[#This Row],[Date]])</f>
        <v>10</v>
      </c>
      <c r="J58" s="23">
        <f>Table2[[#This Row],[Weekly_Sales]]*2</f>
        <v>40655.22</v>
      </c>
      <c r="K58" s="28">
        <f t="shared" si="0"/>
        <v>34698.956666666672</v>
      </c>
      <c r="L58" s="28">
        <f>Table2[[#This Row],[Weekly_Sales]]-Table2[[#This Row],[3_Week_Forecast]]</f>
        <v>-14371.346666666672</v>
      </c>
      <c r="M58" s="28">
        <f>ABS(Table2[[#This Row],[Forecast Error]]/Table2[[#This Row],[Weekly_Sales]])*100</f>
        <v>70.698654030978901</v>
      </c>
      <c r="N58" s="23" t="str">
        <f>Table2[[#This Row],[Store]] &amp; "_" &amp; TEXT(Table2[[#This Row],[Date]],"yyyy-mm-dd")</f>
        <v>1_2011-03-04</v>
      </c>
      <c r="O58" s="23">
        <f>VLOOKUP($N58,Features!A58:N200,4,FALSE)</f>
        <v>59.58</v>
      </c>
      <c r="P58" s="27">
        <f>VLOOKUP($N58,Features!A58:N200,11,FALSE)</f>
        <v>213.82333270000001</v>
      </c>
      <c r="Q58" s="23">
        <f>VLOOKUP($N58,Features!A58:N200,14,FALSE)</f>
        <v>0</v>
      </c>
      <c r="R58" s="23" t="str">
        <f>IF(Table2[[#This Row],[3_Week_Forecast]]&lt;Table2[[#This Row],[Weekly_Sales]], "Underforecast", "Overforecast")</f>
        <v>Overforecast</v>
      </c>
    </row>
    <row r="59" spans="1:18">
      <c r="A59" s="17">
        <v>1</v>
      </c>
      <c r="B59" s="18">
        <v>1</v>
      </c>
      <c r="C59" s="19">
        <v>40613</v>
      </c>
      <c r="D59" s="20">
        <v>21280.400000000001</v>
      </c>
      <c r="E59" s="21" t="b">
        <v>0</v>
      </c>
      <c r="F59" s="22">
        <f>YEAR(Table2[[#This Row],[Date]])</f>
        <v>2011</v>
      </c>
      <c r="G59" s="22" t="str">
        <f>TEXT(Table2[[#This Row],[Date]],"mmm")</f>
        <v>Mar</v>
      </c>
      <c r="H59" s="22" t="str">
        <f>TEXT(Table2[[#This Row],[Date]],"yyyy-mm")</f>
        <v>2011-03</v>
      </c>
      <c r="I59" s="22">
        <f>WEEKNUM(Table2[[#This Row],[Date]])</f>
        <v>11</v>
      </c>
      <c r="J59" s="23">
        <f>Table2[[#This Row],[Weekly_Sales]]*2</f>
        <v>42560.800000000003</v>
      </c>
      <c r="K59" s="28">
        <f t="shared" si="0"/>
        <v>28845.770000000004</v>
      </c>
      <c r="L59" s="28">
        <f>Table2[[#This Row],[Weekly_Sales]]-Table2[[#This Row],[3_Week_Forecast]]</f>
        <v>-7565.3700000000026</v>
      </c>
      <c r="M59" s="28">
        <f>ABS(Table2[[#This Row],[Forecast Error]]/Table2[[#This Row],[Weekly_Sales]])*100</f>
        <v>35.550882502208616</v>
      </c>
      <c r="N59" s="23" t="str">
        <f>Table2[[#This Row],[Store]] &amp; "_" &amp; TEXT(Table2[[#This Row],[Date]],"yyyy-mm-dd")</f>
        <v>1_2011-03-11</v>
      </c>
      <c r="O59" s="23">
        <f>VLOOKUP($N59,Features!A59:N201,4,FALSE)</f>
        <v>53.56</v>
      </c>
      <c r="P59" s="27">
        <f>VLOOKUP($N59,Features!A59:N201,11,FALSE)</f>
        <v>214.1110564</v>
      </c>
      <c r="Q59" s="23">
        <f>VLOOKUP($N59,Features!A59:N201,14,FALSE)</f>
        <v>0</v>
      </c>
      <c r="R59" s="23" t="str">
        <f>IF(Table2[[#This Row],[3_Week_Forecast]]&lt;Table2[[#This Row],[Weekly_Sales]], "Underforecast", "Overforecast")</f>
        <v>Overforecast</v>
      </c>
    </row>
    <row r="60" spans="1:18">
      <c r="A60" s="17">
        <v>1</v>
      </c>
      <c r="B60" s="18">
        <v>1</v>
      </c>
      <c r="C60" s="19">
        <v>40620</v>
      </c>
      <c r="D60" s="20">
        <v>20334.23</v>
      </c>
      <c r="E60" s="21" t="b">
        <v>0</v>
      </c>
      <c r="F60" s="22">
        <f>YEAR(Table2[[#This Row],[Date]])</f>
        <v>2011</v>
      </c>
      <c r="G60" s="22" t="str">
        <f>TEXT(Table2[[#This Row],[Date]],"mmm")</f>
        <v>Mar</v>
      </c>
      <c r="H60" s="22" t="str">
        <f>TEXT(Table2[[#This Row],[Date]],"yyyy-mm")</f>
        <v>2011-03</v>
      </c>
      <c r="I60" s="22">
        <f>WEEKNUM(Table2[[#This Row],[Date]])</f>
        <v>12</v>
      </c>
      <c r="J60" s="23">
        <f>Table2[[#This Row],[Weekly_Sales]]*2</f>
        <v>40668.46</v>
      </c>
      <c r="K60" s="28">
        <f t="shared" si="0"/>
        <v>20323.946666666667</v>
      </c>
      <c r="L60" s="28">
        <f>Table2[[#This Row],[Weekly_Sales]]-Table2[[#This Row],[3_Week_Forecast]]</f>
        <v>10.283333333332848</v>
      </c>
      <c r="M60" s="28">
        <f>ABS(Table2[[#This Row],[Forecast Error]]/Table2[[#This Row],[Weekly_Sales]])*100</f>
        <v>5.0571540369774758E-2</v>
      </c>
      <c r="N60" s="23" t="str">
        <f>Table2[[#This Row],[Store]] &amp; "_" &amp; TEXT(Table2[[#This Row],[Date]],"yyyy-mm-dd")</f>
        <v>1_2011-03-18</v>
      </c>
      <c r="O60" s="23">
        <f>VLOOKUP($N60,Features!A60:N202,4,FALSE)</f>
        <v>62.76</v>
      </c>
      <c r="P60" s="27">
        <f>VLOOKUP($N60,Features!A60:N202,11,FALSE)</f>
        <v>214.36271139999999</v>
      </c>
      <c r="Q60" s="23">
        <f>VLOOKUP($N60,Features!A60:N202,14,FALSE)</f>
        <v>0</v>
      </c>
      <c r="R60" s="23" t="str">
        <f>IF(Table2[[#This Row],[3_Week_Forecast]]&lt;Table2[[#This Row],[Weekly_Sales]], "Underforecast", "Overforecast")</f>
        <v>Underforecast</v>
      </c>
    </row>
    <row r="61" spans="1:18">
      <c r="A61" s="17">
        <v>1</v>
      </c>
      <c r="B61" s="18">
        <v>1</v>
      </c>
      <c r="C61" s="19">
        <v>40627</v>
      </c>
      <c r="D61" s="20">
        <v>20881.099999999999</v>
      </c>
      <c r="E61" s="21" t="b">
        <v>0</v>
      </c>
      <c r="F61" s="22">
        <f>YEAR(Table2[[#This Row],[Date]])</f>
        <v>2011</v>
      </c>
      <c r="G61" s="22" t="str">
        <f>TEXT(Table2[[#This Row],[Date]],"mmm")</f>
        <v>Mar</v>
      </c>
      <c r="H61" s="22" t="str">
        <f>TEXT(Table2[[#This Row],[Date]],"yyyy-mm")</f>
        <v>2011-03</v>
      </c>
      <c r="I61" s="22">
        <f>WEEKNUM(Table2[[#This Row],[Date]])</f>
        <v>13</v>
      </c>
      <c r="J61" s="23">
        <f>Table2[[#This Row],[Weekly_Sales]]*2</f>
        <v>41762.199999999997</v>
      </c>
      <c r="K61" s="28">
        <f t="shared" si="0"/>
        <v>20647.413333333334</v>
      </c>
      <c r="L61" s="28">
        <f>Table2[[#This Row],[Weekly_Sales]]-Table2[[#This Row],[3_Week_Forecast]]</f>
        <v>233.68666666666468</v>
      </c>
      <c r="M61" s="28">
        <f>ABS(Table2[[#This Row],[Forecast Error]]/Table2[[#This Row],[Weekly_Sales]])*100</f>
        <v>1.1191300586016286</v>
      </c>
      <c r="N61" s="23" t="str">
        <f>Table2[[#This Row],[Store]] &amp; "_" &amp; TEXT(Table2[[#This Row],[Date]],"yyyy-mm-dd")</f>
        <v>1_2011-03-25</v>
      </c>
      <c r="O61" s="23">
        <f>VLOOKUP($N61,Features!A61:N203,4,FALSE)</f>
        <v>69.97</v>
      </c>
      <c r="P61" s="27">
        <f>VLOOKUP($N61,Features!A61:N203,11,FALSE)</f>
        <v>214.59993890000001</v>
      </c>
      <c r="Q61" s="23">
        <f>VLOOKUP($N61,Features!A61:N203,14,FALSE)</f>
        <v>0</v>
      </c>
      <c r="R61" s="23" t="str">
        <f>IF(Table2[[#This Row],[3_Week_Forecast]]&lt;Table2[[#This Row],[Weekly_Sales]], "Underforecast", "Overforecast")</f>
        <v>Underforecast</v>
      </c>
    </row>
    <row r="62" spans="1:18">
      <c r="A62" s="17">
        <v>1</v>
      </c>
      <c r="B62" s="18">
        <v>1</v>
      </c>
      <c r="C62" s="19">
        <v>40634</v>
      </c>
      <c r="D62" s="20">
        <v>20398.09</v>
      </c>
      <c r="E62" s="21" t="b">
        <v>0</v>
      </c>
      <c r="F62" s="22">
        <f>YEAR(Table2[[#This Row],[Date]])</f>
        <v>2011</v>
      </c>
      <c r="G62" s="22" t="str">
        <f>TEXT(Table2[[#This Row],[Date]],"mmm")</f>
        <v>Apr</v>
      </c>
      <c r="H62" s="22" t="str">
        <f>TEXT(Table2[[#This Row],[Date]],"yyyy-mm")</f>
        <v>2011-04</v>
      </c>
      <c r="I62" s="22">
        <f>WEEKNUM(Table2[[#This Row],[Date]])</f>
        <v>14</v>
      </c>
      <c r="J62" s="23">
        <f>Table2[[#This Row],[Weekly_Sales]]*2</f>
        <v>40796.18</v>
      </c>
      <c r="K62" s="28">
        <f t="shared" si="0"/>
        <v>20831.91</v>
      </c>
      <c r="L62" s="28">
        <f>Table2[[#This Row],[Weekly_Sales]]-Table2[[#This Row],[3_Week_Forecast]]</f>
        <v>-433.81999999999971</v>
      </c>
      <c r="M62" s="28">
        <f>ABS(Table2[[#This Row],[Forecast Error]]/Table2[[#This Row],[Weekly_Sales]])*100</f>
        <v>2.1267677512943601</v>
      </c>
      <c r="N62" s="23" t="str">
        <f>Table2[[#This Row],[Store]] &amp; "_" &amp; TEXT(Table2[[#This Row],[Date]],"yyyy-mm-dd")</f>
        <v>1_2011-04-01</v>
      </c>
      <c r="O62" s="23">
        <f>VLOOKUP($N62,Features!A62:N204,4,FALSE)</f>
        <v>59.17</v>
      </c>
      <c r="P62" s="27">
        <f>VLOOKUP($N62,Features!A62:N204,11,FALSE)</f>
        <v>214.8371664</v>
      </c>
      <c r="Q62" s="23">
        <f>VLOOKUP($N62,Features!A62:N204,14,FALSE)</f>
        <v>0</v>
      </c>
      <c r="R62" s="23" t="str">
        <f>IF(Table2[[#This Row],[3_Week_Forecast]]&lt;Table2[[#This Row],[Weekly_Sales]], "Underforecast", "Overforecast")</f>
        <v>Overforecast</v>
      </c>
    </row>
    <row r="63" spans="1:18">
      <c r="A63" s="17">
        <v>1</v>
      </c>
      <c r="B63" s="18">
        <v>1</v>
      </c>
      <c r="C63" s="19">
        <v>40641</v>
      </c>
      <c r="D63" s="20">
        <v>23873.79</v>
      </c>
      <c r="E63" s="21" t="b">
        <v>0</v>
      </c>
      <c r="F63" s="22">
        <f>YEAR(Table2[[#This Row],[Date]])</f>
        <v>2011</v>
      </c>
      <c r="G63" s="22" t="str">
        <f>TEXT(Table2[[#This Row],[Date]],"mmm")</f>
        <v>Apr</v>
      </c>
      <c r="H63" s="22" t="str">
        <f>TEXT(Table2[[#This Row],[Date]],"yyyy-mm")</f>
        <v>2011-04</v>
      </c>
      <c r="I63" s="22">
        <f>WEEKNUM(Table2[[#This Row],[Date]])</f>
        <v>15</v>
      </c>
      <c r="J63" s="23">
        <f>Table2[[#This Row],[Weekly_Sales]]*2</f>
        <v>47747.58</v>
      </c>
      <c r="K63" s="28">
        <f t="shared" si="0"/>
        <v>20537.806666666667</v>
      </c>
      <c r="L63" s="28">
        <f>Table2[[#This Row],[Weekly_Sales]]-Table2[[#This Row],[3_Week_Forecast]]</f>
        <v>3335.9833333333336</v>
      </c>
      <c r="M63" s="28">
        <f>ABS(Table2[[#This Row],[Forecast Error]]/Table2[[#This Row],[Weekly_Sales]])*100</f>
        <v>13.973413242444261</v>
      </c>
      <c r="N63" s="23" t="str">
        <f>Table2[[#This Row],[Store]] &amp; "_" &amp; TEXT(Table2[[#This Row],[Date]],"yyyy-mm-dd")</f>
        <v>1_2011-04-08</v>
      </c>
      <c r="O63" s="23">
        <f>VLOOKUP($N63,Features!A63:N205,4,FALSE)</f>
        <v>67.84</v>
      </c>
      <c r="P63" s="27">
        <f>VLOOKUP($N63,Features!A63:N205,11,FALSE)</f>
        <v>215.07439389999999</v>
      </c>
      <c r="Q63" s="23">
        <f>VLOOKUP($N63,Features!A63:N205,14,FALSE)</f>
        <v>0</v>
      </c>
      <c r="R63" s="23" t="str">
        <f>IF(Table2[[#This Row],[3_Week_Forecast]]&lt;Table2[[#This Row],[Weekly_Sales]], "Underforecast", "Overforecast")</f>
        <v>Underforecast</v>
      </c>
    </row>
    <row r="64" spans="1:18">
      <c r="A64" s="17">
        <v>1</v>
      </c>
      <c r="B64" s="18">
        <v>1</v>
      </c>
      <c r="C64" s="19">
        <v>40648</v>
      </c>
      <c r="D64" s="20">
        <v>28762.37</v>
      </c>
      <c r="E64" s="21" t="b">
        <v>0</v>
      </c>
      <c r="F64" s="22">
        <f>YEAR(Table2[[#This Row],[Date]])</f>
        <v>2011</v>
      </c>
      <c r="G64" s="22" t="str">
        <f>TEXT(Table2[[#This Row],[Date]],"mmm")</f>
        <v>Apr</v>
      </c>
      <c r="H64" s="22" t="str">
        <f>TEXT(Table2[[#This Row],[Date]],"yyyy-mm")</f>
        <v>2011-04</v>
      </c>
      <c r="I64" s="22">
        <f>WEEKNUM(Table2[[#This Row],[Date]])</f>
        <v>16</v>
      </c>
      <c r="J64" s="23">
        <f>Table2[[#This Row],[Weekly_Sales]]*2</f>
        <v>57524.74</v>
      </c>
      <c r="K64" s="28">
        <f t="shared" si="0"/>
        <v>21717.66</v>
      </c>
      <c r="L64" s="28">
        <f>Table2[[#This Row],[Weekly_Sales]]-Table2[[#This Row],[3_Week_Forecast]]</f>
        <v>7044.7099999999991</v>
      </c>
      <c r="M64" s="28">
        <f>ABS(Table2[[#This Row],[Forecast Error]]/Table2[[#This Row],[Weekly_Sales]])*100</f>
        <v>24.492800836648719</v>
      </c>
      <c r="N64" s="23" t="str">
        <f>Table2[[#This Row],[Store]] &amp; "_" &amp; TEXT(Table2[[#This Row],[Date]],"yyyy-mm-dd")</f>
        <v>1_2011-04-15</v>
      </c>
      <c r="O64" s="23">
        <f>VLOOKUP($N64,Features!A64:N206,4,FALSE)</f>
        <v>71.27</v>
      </c>
      <c r="P64" s="27">
        <f>VLOOKUP($N64,Features!A64:N206,11,FALSE)</f>
        <v>215.29185609999999</v>
      </c>
      <c r="Q64" s="23">
        <f>VLOOKUP($N64,Features!A64:N206,14,FALSE)</f>
        <v>0</v>
      </c>
      <c r="R64" s="23" t="str">
        <f>IF(Table2[[#This Row],[3_Week_Forecast]]&lt;Table2[[#This Row],[Weekly_Sales]], "Underforecast", "Overforecast")</f>
        <v>Underforecast</v>
      </c>
    </row>
    <row r="65" spans="1:18">
      <c r="A65" s="17">
        <v>1</v>
      </c>
      <c r="B65" s="18">
        <v>1</v>
      </c>
      <c r="C65" s="19">
        <v>40655</v>
      </c>
      <c r="D65" s="20">
        <v>50510.31</v>
      </c>
      <c r="E65" s="21" t="b">
        <v>0</v>
      </c>
      <c r="F65" s="22">
        <f>YEAR(Table2[[#This Row],[Date]])</f>
        <v>2011</v>
      </c>
      <c r="G65" s="22" t="str">
        <f>TEXT(Table2[[#This Row],[Date]],"mmm")</f>
        <v>Apr</v>
      </c>
      <c r="H65" s="22" t="str">
        <f>TEXT(Table2[[#This Row],[Date]],"yyyy-mm")</f>
        <v>2011-04</v>
      </c>
      <c r="I65" s="22">
        <f>WEEKNUM(Table2[[#This Row],[Date]])</f>
        <v>17</v>
      </c>
      <c r="J65" s="23">
        <f>Table2[[#This Row],[Weekly_Sales]]*2</f>
        <v>101020.62</v>
      </c>
      <c r="K65" s="28">
        <f t="shared" si="0"/>
        <v>24344.75</v>
      </c>
      <c r="L65" s="28">
        <f>Table2[[#This Row],[Weekly_Sales]]-Table2[[#This Row],[3_Week_Forecast]]</f>
        <v>26165.559999999998</v>
      </c>
      <c r="M65" s="28">
        <f>ABS(Table2[[#This Row],[Forecast Error]]/Table2[[#This Row],[Weekly_Sales]])*100</f>
        <v>51.802414200190015</v>
      </c>
      <c r="N65" s="23" t="str">
        <f>Table2[[#This Row],[Store]] &amp; "_" &amp; TEXT(Table2[[#This Row],[Date]],"yyyy-mm-dd")</f>
        <v>1_2011-04-22</v>
      </c>
      <c r="O65" s="23">
        <f>VLOOKUP($N65,Features!A65:N207,4,FALSE)</f>
        <v>72.989999999999995</v>
      </c>
      <c r="P65" s="27">
        <f>VLOOKUP($N65,Features!A65:N207,11,FALSE)</f>
        <v>215.4599053</v>
      </c>
      <c r="Q65" s="23">
        <f>VLOOKUP($N65,Features!A65:N207,14,FALSE)</f>
        <v>0</v>
      </c>
      <c r="R65" s="23" t="str">
        <f>IF(Table2[[#This Row],[3_Week_Forecast]]&lt;Table2[[#This Row],[Weekly_Sales]], "Underforecast", "Overforecast")</f>
        <v>Underforecast</v>
      </c>
    </row>
    <row r="66" spans="1:18">
      <c r="A66" s="17">
        <v>1</v>
      </c>
      <c r="B66" s="18">
        <v>1</v>
      </c>
      <c r="C66" s="19">
        <v>40662</v>
      </c>
      <c r="D66" s="20">
        <v>41512.39</v>
      </c>
      <c r="E66" s="21" t="b">
        <v>0</v>
      </c>
      <c r="F66" s="22">
        <f>YEAR(Table2[[#This Row],[Date]])</f>
        <v>2011</v>
      </c>
      <c r="G66" s="22" t="str">
        <f>TEXT(Table2[[#This Row],[Date]],"mmm")</f>
        <v>Apr</v>
      </c>
      <c r="H66" s="22" t="str">
        <f>TEXT(Table2[[#This Row],[Date]],"yyyy-mm")</f>
        <v>2011-04</v>
      </c>
      <c r="I66" s="22">
        <f>WEEKNUM(Table2[[#This Row],[Date]])</f>
        <v>18</v>
      </c>
      <c r="J66" s="23">
        <f>Table2[[#This Row],[Weekly_Sales]]*2</f>
        <v>83024.78</v>
      </c>
      <c r="K66" s="28">
        <f t="shared" si="0"/>
        <v>34382.156666666669</v>
      </c>
      <c r="L66" s="28">
        <f>Table2[[#This Row],[Weekly_Sales]]-Table2[[#This Row],[3_Week_Forecast]]</f>
        <v>7130.2333333333299</v>
      </c>
      <c r="M66" s="28">
        <f>ABS(Table2[[#This Row],[Forecast Error]]/Table2[[#This Row],[Weekly_Sales]])*100</f>
        <v>17.17615712642257</v>
      </c>
      <c r="N66" s="23" t="str">
        <f>Table2[[#This Row],[Store]] &amp; "_" &amp; TEXT(Table2[[#This Row],[Date]],"yyyy-mm-dd")</f>
        <v>1_2011-04-29</v>
      </c>
      <c r="O66" s="23">
        <f>VLOOKUP($N66,Features!A66:N208,4,FALSE)</f>
        <v>72.03</v>
      </c>
      <c r="P66" s="27">
        <f>VLOOKUP($N66,Features!A66:N208,11,FALSE)</f>
        <v>215.62795439999999</v>
      </c>
      <c r="Q66" s="23">
        <f>VLOOKUP($N66,Features!A66:N208,14,FALSE)</f>
        <v>0</v>
      </c>
      <c r="R66" s="23" t="str">
        <f>IF(Table2[[#This Row],[3_Week_Forecast]]&lt;Table2[[#This Row],[Weekly_Sales]], "Underforecast", "Overforecast")</f>
        <v>Underforecast</v>
      </c>
    </row>
    <row r="67" spans="1:18">
      <c r="A67" s="17">
        <v>1</v>
      </c>
      <c r="B67" s="18">
        <v>1</v>
      </c>
      <c r="C67" s="19">
        <v>40669</v>
      </c>
      <c r="D67" s="20">
        <v>20138.189999999999</v>
      </c>
      <c r="E67" s="21" t="b">
        <v>0</v>
      </c>
      <c r="F67" s="22">
        <f>YEAR(Table2[[#This Row],[Date]])</f>
        <v>2011</v>
      </c>
      <c r="G67" s="22" t="str">
        <f>TEXT(Table2[[#This Row],[Date]],"mmm")</f>
        <v>May</v>
      </c>
      <c r="H67" s="22" t="str">
        <f>TEXT(Table2[[#This Row],[Date]],"yyyy-mm")</f>
        <v>2011-05</v>
      </c>
      <c r="I67" s="22">
        <f>WEEKNUM(Table2[[#This Row],[Date]])</f>
        <v>19</v>
      </c>
      <c r="J67" s="23">
        <f>Table2[[#This Row],[Weekly_Sales]]*2</f>
        <v>40276.379999999997</v>
      </c>
      <c r="K67" s="28">
        <f t="shared" si="0"/>
        <v>40261.689999999995</v>
      </c>
      <c r="L67" s="28">
        <f>Table2[[#This Row],[Weekly_Sales]]-Table2[[#This Row],[3_Week_Forecast]]</f>
        <v>-20123.499999999996</v>
      </c>
      <c r="M67" s="28">
        <f>ABS(Table2[[#This Row],[Forecast Error]]/Table2[[#This Row],[Weekly_Sales]])*100</f>
        <v>99.927054020247084</v>
      </c>
      <c r="N67" s="23" t="str">
        <f>Table2[[#This Row],[Store]] &amp; "_" &amp; TEXT(Table2[[#This Row],[Date]],"yyyy-mm-dd")</f>
        <v>1_2011-05-06</v>
      </c>
      <c r="O67" s="23">
        <f>VLOOKUP($N67,Features!A67:N209,4,FALSE)</f>
        <v>64.61</v>
      </c>
      <c r="P67" s="27">
        <f>VLOOKUP($N67,Features!A67:N209,11,FALSE)</f>
        <v>215.79600350000001</v>
      </c>
      <c r="Q67" s="23">
        <f>VLOOKUP($N67,Features!A67:N209,14,FALSE)</f>
        <v>0</v>
      </c>
      <c r="R67" s="23" t="str">
        <f>IF(Table2[[#This Row],[3_Week_Forecast]]&lt;Table2[[#This Row],[Weekly_Sales]], "Underforecast", "Overforecast")</f>
        <v>Overforecast</v>
      </c>
    </row>
    <row r="68" spans="1:18">
      <c r="A68" s="17">
        <v>1</v>
      </c>
      <c r="B68" s="18">
        <v>1</v>
      </c>
      <c r="C68" s="19">
        <v>40676</v>
      </c>
      <c r="D68" s="20">
        <v>17235.150000000001</v>
      </c>
      <c r="E68" s="21" t="b">
        <v>0</v>
      </c>
      <c r="F68" s="22">
        <f>YEAR(Table2[[#This Row],[Date]])</f>
        <v>2011</v>
      </c>
      <c r="G68" s="22" t="str">
        <f>TEXT(Table2[[#This Row],[Date]],"mmm")</f>
        <v>May</v>
      </c>
      <c r="H68" s="22" t="str">
        <f>TEXT(Table2[[#This Row],[Date]],"yyyy-mm")</f>
        <v>2011-05</v>
      </c>
      <c r="I68" s="22">
        <f>WEEKNUM(Table2[[#This Row],[Date]])</f>
        <v>20</v>
      </c>
      <c r="J68" s="23">
        <f>Table2[[#This Row],[Weekly_Sales]]*2</f>
        <v>34470.300000000003</v>
      </c>
      <c r="K68" s="28">
        <f t="shared" si="0"/>
        <v>37386.963333333333</v>
      </c>
      <c r="L68" s="28">
        <f>Table2[[#This Row],[Weekly_Sales]]-Table2[[#This Row],[3_Week_Forecast]]</f>
        <v>-20151.813333333332</v>
      </c>
      <c r="M68" s="28">
        <f>ABS(Table2[[#This Row],[Forecast Error]]/Table2[[#This Row],[Weekly_Sales]])*100</f>
        <v>116.92276152707304</v>
      </c>
      <c r="N68" s="23" t="str">
        <f>Table2[[#This Row],[Store]] &amp; "_" &amp; TEXT(Table2[[#This Row],[Date]],"yyyy-mm-dd")</f>
        <v>1_2011-05-13</v>
      </c>
      <c r="O68" s="23">
        <f>VLOOKUP($N68,Features!A68:N210,4,FALSE)</f>
        <v>75.64</v>
      </c>
      <c r="P68" s="27">
        <f>VLOOKUP($N68,Features!A68:N210,11,FALSE)</f>
        <v>215.9640526</v>
      </c>
      <c r="Q68" s="23">
        <f>VLOOKUP($N68,Features!A68:N210,14,FALSE)</f>
        <v>0</v>
      </c>
      <c r="R68" s="23" t="str">
        <f>IF(Table2[[#This Row],[3_Week_Forecast]]&lt;Table2[[#This Row],[Weekly_Sales]], "Underforecast", "Overforecast")</f>
        <v>Overforecast</v>
      </c>
    </row>
    <row r="69" spans="1:18">
      <c r="A69" s="17">
        <v>1</v>
      </c>
      <c r="B69" s="18">
        <v>1</v>
      </c>
      <c r="C69" s="19">
        <v>40683</v>
      </c>
      <c r="D69" s="20">
        <v>15136.78</v>
      </c>
      <c r="E69" s="21" t="b">
        <v>0</v>
      </c>
      <c r="F69" s="22">
        <f>YEAR(Table2[[#This Row],[Date]])</f>
        <v>2011</v>
      </c>
      <c r="G69" s="22" t="str">
        <f>TEXT(Table2[[#This Row],[Date]],"mmm")</f>
        <v>May</v>
      </c>
      <c r="H69" s="22" t="str">
        <f>TEXT(Table2[[#This Row],[Date]],"yyyy-mm")</f>
        <v>2011-05</v>
      </c>
      <c r="I69" s="22">
        <f>WEEKNUM(Table2[[#This Row],[Date]])</f>
        <v>21</v>
      </c>
      <c r="J69" s="23">
        <f>Table2[[#This Row],[Weekly_Sales]]*2</f>
        <v>30273.56</v>
      </c>
      <c r="K69" s="28">
        <f t="shared" si="0"/>
        <v>26295.243333333336</v>
      </c>
      <c r="L69" s="28">
        <f>Table2[[#This Row],[Weekly_Sales]]-Table2[[#This Row],[3_Week_Forecast]]</f>
        <v>-11158.463333333335</v>
      </c>
      <c r="M69" s="28">
        <f>ABS(Table2[[#This Row],[Forecast Error]]/Table2[[#This Row],[Weekly_Sales]])*100</f>
        <v>73.717549791523268</v>
      </c>
      <c r="N69" s="23" t="str">
        <f>Table2[[#This Row],[Store]] &amp; "_" &amp; TEXT(Table2[[#This Row],[Date]],"yyyy-mm-dd")</f>
        <v>1_2011-05-20</v>
      </c>
      <c r="O69" s="23">
        <f>VLOOKUP($N69,Features!A69:N211,4,FALSE)</f>
        <v>67.63</v>
      </c>
      <c r="P69" s="27">
        <f>VLOOKUP($N69,Features!A69:N211,11,FALSE)</f>
        <v>215.7339202</v>
      </c>
      <c r="Q69" s="23">
        <f>VLOOKUP($N69,Features!A69:N211,14,FALSE)</f>
        <v>0</v>
      </c>
      <c r="R69" s="23" t="str">
        <f>IF(Table2[[#This Row],[3_Week_Forecast]]&lt;Table2[[#This Row],[Weekly_Sales]], "Underforecast", "Overforecast")</f>
        <v>Overforecast</v>
      </c>
    </row>
    <row r="70" spans="1:18">
      <c r="A70" s="17">
        <v>1</v>
      </c>
      <c r="B70" s="18">
        <v>1</v>
      </c>
      <c r="C70" s="19">
        <v>40690</v>
      </c>
      <c r="D70" s="20">
        <v>15741.6</v>
      </c>
      <c r="E70" s="21" t="b">
        <v>0</v>
      </c>
      <c r="F70" s="22">
        <f>YEAR(Table2[[#This Row],[Date]])</f>
        <v>2011</v>
      </c>
      <c r="G70" s="22" t="str">
        <f>TEXT(Table2[[#This Row],[Date]],"mmm")</f>
        <v>May</v>
      </c>
      <c r="H70" s="22" t="str">
        <f>TEXT(Table2[[#This Row],[Date]],"yyyy-mm")</f>
        <v>2011-05</v>
      </c>
      <c r="I70" s="22">
        <f>WEEKNUM(Table2[[#This Row],[Date]])</f>
        <v>22</v>
      </c>
      <c r="J70" s="23">
        <f>Table2[[#This Row],[Weekly_Sales]]*2</f>
        <v>31483.200000000001</v>
      </c>
      <c r="K70" s="28">
        <f t="shared" ref="K70:K133" si="1">AVERAGE(D67:D69)</f>
        <v>17503.373333333333</v>
      </c>
      <c r="L70" s="28">
        <f>Table2[[#This Row],[Weekly_Sales]]-Table2[[#This Row],[3_Week_Forecast]]</f>
        <v>-1761.7733333333326</v>
      </c>
      <c r="M70" s="28">
        <f>ABS(Table2[[#This Row],[Forecast Error]]/Table2[[#This Row],[Weekly_Sales]])*100</f>
        <v>11.191831410614757</v>
      </c>
      <c r="N70" s="23" t="str">
        <f>Table2[[#This Row],[Store]] &amp; "_" &amp; TEXT(Table2[[#This Row],[Date]],"yyyy-mm-dd")</f>
        <v>1_2011-05-27</v>
      </c>
      <c r="O70" s="23">
        <f>VLOOKUP($N70,Features!A70:N212,4,FALSE)</f>
        <v>77.72</v>
      </c>
      <c r="P70" s="27">
        <f>VLOOKUP($N70,Features!A70:N212,11,FALSE)</f>
        <v>215.5037878</v>
      </c>
      <c r="Q70" s="23">
        <f>VLOOKUP($N70,Features!A70:N212,14,FALSE)</f>
        <v>0</v>
      </c>
      <c r="R70" s="23" t="str">
        <f>IF(Table2[[#This Row],[3_Week_Forecast]]&lt;Table2[[#This Row],[Weekly_Sales]], "Underforecast", "Overforecast")</f>
        <v>Overforecast</v>
      </c>
    </row>
    <row r="71" spans="1:18">
      <c r="A71" s="17">
        <v>1</v>
      </c>
      <c r="B71" s="18">
        <v>1</v>
      </c>
      <c r="C71" s="19">
        <v>40697</v>
      </c>
      <c r="D71" s="20">
        <v>16434.150000000001</v>
      </c>
      <c r="E71" s="21" t="b">
        <v>0</v>
      </c>
      <c r="F71" s="22">
        <f>YEAR(Table2[[#This Row],[Date]])</f>
        <v>2011</v>
      </c>
      <c r="G71" s="22" t="str">
        <f>TEXT(Table2[[#This Row],[Date]],"mmm")</f>
        <v>Jun</v>
      </c>
      <c r="H71" s="22" t="str">
        <f>TEXT(Table2[[#This Row],[Date]],"yyyy-mm")</f>
        <v>2011-06</v>
      </c>
      <c r="I71" s="22">
        <f>WEEKNUM(Table2[[#This Row],[Date]])</f>
        <v>23</v>
      </c>
      <c r="J71" s="23">
        <f>Table2[[#This Row],[Weekly_Sales]]*2</f>
        <v>32868.300000000003</v>
      </c>
      <c r="K71" s="28">
        <f t="shared" si="1"/>
        <v>16037.843333333332</v>
      </c>
      <c r="L71" s="28">
        <f>Table2[[#This Row],[Weekly_Sales]]-Table2[[#This Row],[3_Week_Forecast]]</f>
        <v>396.30666666666912</v>
      </c>
      <c r="M71" s="28">
        <f>ABS(Table2[[#This Row],[Forecast Error]]/Table2[[#This Row],[Weekly_Sales]])*100</f>
        <v>2.4114825936642243</v>
      </c>
      <c r="N71" s="23" t="str">
        <f>Table2[[#This Row],[Store]] &amp; "_" &amp; TEXT(Table2[[#This Row],[Date]],"yyyy-mm-dd")</f>
        <v>1_2011-06-03</v>
      </c>
      <c r="O71" s="23">
        <f>VLOOKUP($N71,Features!A71:N213,4,FALSE)</f>
        <v>83</v>
      </c>
      <c r="P71" s="27">
        <f>VLOOKUP($N71,Features!A71:N213,11,FALSE)</f>
        <v>215.2736553</v>
      </c>
      <c r="Q71" s="23">
        <f>VLOOKUP($N71,Features!A71:N213,14,FALSE)</f>
        <v>0</v>
      </c>
      <c r="R71" s="23" t="str">
        <f>IF(Table2[[#This Row],[3_Week_Forecast]]&lt;Table2[[#This Row],[Weekly_Sales]], "Underforecast", "Overforecast")</f>
        <v>Underforecast</v>
      </c>
    </row>
    <row r="72" spans="1:18">
      <c r="A72" s="17">
        <v>1</v>
      </c>
      <c r="B72" s="18">
        <v>1</v>
      </c>
      <c r="C72" s="19">
        <v>40704</v>
      </c>
      <c r="D72" s="20">
        <v>15883.52</v>
      </c>
      <c r="E72" s="21" t="b">
        <v>0</v>
      </c>
      <c r="F72" s="22">
        <f>YEAR(Table2[[#This Row],[Date]])</f>
        <v>2011</v>
      </c>
      <c r="G72" s="22" t="str">
        <f>TEXT(Table2[[#This Row],[Date]],"mmm")</f>
        <v>Jun</v>
      </c>
      <c r="H72" s="22" t="str">
        <f>TEXT(Table2[[#This Row],[Date]],"yyyy-mm")</f>
        <v>2011-06</v>
      </c>
      <c r="I72" s="22">
        <f>WEEKNUM(Table2[[#This Row],[Date]])</f>
        <v>24</v>
      </c>
      <c r="J72" s="23">
        <f>Table2[[#This Row],[Weekly_Sales]]*2</f>
        <v>31767.040000000001</v>
      </c>
      <c r="K72" s="28">
        <f t="shared" si="1"/>
        <v>15770.843333333332</v>
      </c>
      <c r="L72" s="28">
        <f>Table2[[#This Row],[Weekly_Sales]]-Table2[[#This Row],[3_Week_Forecast]]</f>
        <v>112.6766666666681</v>
      </c>
      <c r="M72" s="28">
        <f>ABS(Table2[[#This Row],[Forecast Error]]/Table2[[#This Row],[Weekly_Sales]])*100</f>
        <v>0.70939355172322072</v>
      </c>
      <c r="N72" s="23" t="str">
        <f>Table2[[#This Row],[Store]] &amp; "_" &amp; TEXT(Table2[[#This Row],[Date]],"yyyy-mm-dd")</f>
        <v>1_2011-06-10</v>
      </c>
      <c r="O72" s="23">
        <f>VLOOKUP($N72,Features!A72:N214,4,FALSE)</f>
        <v>83.13</v>
      </c>
      <c r="P72" s="27">
        <f>VLOOKUP($N72,Features!A72:N214,11,FALSE)</f>
        <v>215.0435229</v>
      </c>
      <c r="Q72" s="23">
        <f>VLOOKUP($N72,Features!A72:N214,14,FALSE)</f>
        <v>0</v>
      </c>
      <c r="R72" s="23" t="str">
        <f>IF(Table2[[#This Row],[3_Week_Forecast]]&lt;Table2[[#This Row],[Weekly_Sales]], "Underforecast", "Overforecast")</f>
        <v>Underforecast</v>
      </c>
    </row>
    <row r="73" spans="1:18">
      <c r="A73" s="17">
        <v>1</v>
      </c>
      <c r="B73" s="18">
        <v>1</v>
      </c>
      <c r="C73" s="19">
        <v>40711</v>
      </c>
      <c r="D73" s="20">
        <v>14978.09</v>
      </c>
      <c r="E73" s="21" t="b">
        <v>0</v>
      </c>
      <c r="F73" s="22">
        <f>YEAR(Table2[[#This Row],[Date]])</f>
        <v>2011</v>
      </c>
      <c r="G73" s="22" t="str">
        <f>TEXT(Table2[[#This Row],[Date]],"mmm")</f>
        <v>Jun</v>
      </c>
      <c r="H73" s="22" t="str">
        <f>TEXT(Table2[[#This Row],[Date]],"yyyy-mm")</f>
        <v>2011-06</v>
      </c>
      <c r="I73" s="22">
        <f>WEEKNUM(Table2[[#This Row],[Date]])</f>
        <v>25</v>
      </c>
      <c r="J73" s="23">
        <f>Table2[[#This Row],[Weekly_Sales]]*2</f>
        <v>29956.18</v>
      </c>
      <c r="K73" s="28">
        <f t="shared" si="1"/>
        <v>16019.756666666668</v>
      </c>
      <c r="L73" s="28">
        <f>Table2[[#This Row],[Weekly_Sales]]-Table2[[#This Row],[3_Week_Forecast]]</f>
        <v>-1041.6666666666679</v>
      </c>
      <c r="M73" s="28">
        <f>ABS(Table2[[#This Row],[Forecast Error]]/Table2[[#This Row],[Weekly_Sales]])*100</f>
        <v>6.9546028009356862</v>
      </c>
      <c r="N73" s="23" t="str">
        <f>Table2[[#This Row],[Store]] &amp; "_" &amp; TEXT(Table2[[#This Row],[Date]],"yyyy-mm-dd")</f>
        <v>1_2011-06-17</v>
      </c>
      <c r="O73" s="23">
        <f>VLOOKUP($N73,Features!A73:N215,4,FALSE)</f>
        <v>86.41</v>
      </c>
      <c r="P73" s="27">
        <f>VLOOKUP($N73,Features!A73:N215,11,FALSE)</f>
        <v>214.9980596</v>
      </c>
      <c r="Q73" s="23">
        <f>VLOOKUP($N73,Features!A73:N215,14,FALSE)</f>
        <v>0</v>
      </c>
      <c r="R73" s="23" t="str">
        <f>IF(Table2[[#This Row],[3_Week_Forecast]]&lt;Table2[[#This Row],[Weekly_Sales]], "Underforecast", "Overforecast")</f>
        <v>Overforecast</v>
      </c>
    </row>
    <row r="74" spans="1:18">
      <c r="A74" s="17">
        <v>1</v>
      </c>
      <c r="B74" s="18">
        <v>1</v>
      </c>
      <c r="C74" s="19">
        <v>40718</v>
      </c>
      <c r="D74" s="20">
        <v>15682.81</v>
      </c>
      <c r="E74" s="21" t="b">
        <v>0</v>
      </c>
      <c r="F74" s="22">
        <f>YEAR(Table2[[#This Row],[Date]])</f>
        <v>2011</v>
      </c>
      <c r="G74" s="22" t="str">
        <f>TEXT(Table2[[#This Row],[Date]],"mmm")</f>
        <v>Jun</v>
      </c>
      <c r="H74" s="22" t="str">
        <f>TEXT(Table2[[#This Row],[Date]],"yyyy-mm")</f>
        <v>2011-06</v>
      </c>
      <c r="I74" s="22">
        <f>WEEKNUM(Table2[[#This Row],[Date]])</f>
        <v>26</v>
      </c>
      <c r="J74" s="23">
        <f>Table2[[#This Row],[Weekly_Sales]]*2</f>
        <v>31365.62</v>
      </c>
      <c r="K74" s="28">
        <f t="shared" si="1"/>
        <v>15765.253333333334</v>
      </c>
      <c r="L74" s="28">
        <f>Table2[[#This Row],[Weekly_Sales]]-Table2[[#This Row],[3_Week_Forecast]]</f>
        <v>-82.443333333334522</v>
      </c>
      <c r="M74" s="28">
        <f>ABS(Table2[[#This Row],[Forecast Error]]/Table2[[#This Row],[Weekly_Sales]])*100</f>
        <v>0.5256923557279245</v>
      </c>
      <c r="N74" s="23" t="str">
        <f>Table2[[#This Row],[Store]] &amp; "_" &amp; TEXT(Table2[[#This Row],[Date]],"yyyy-mm-dd")</f>
        <v>1_2011-06-24</v>
      </c>
      <c r="O74" s="23">
        <f>VLOOKUP($N74,Features!A74:N216,4,FALSE)</f>
        <v>83.58</v>
      </c>
      <c r="P74" s="27">
        <f>VLOOKUP($N74,Features!A74:N216,11,FALSE)</f>
        <v>215.0910982</v>
      </c>
      <c r="Q74" s="23">
        <f>VLOOKUP($N74,Features!A74:N216,14,FALSE)</f>
        <v>0</v>
      </c>
      <c r="R74" s="23" t="str">
        <f>IF(Table2[[#This Row],[3_Week_Forecast]]&lt;Table2[[#This Row],[Weekly_Sales]], "Underforecast", "Overforecast")</f>
        <v>Overforecast</v>
      </c>
    </row>
    <row r="75" spans="1:18">
      <c r="A75" s="17">
        <v>1</v>
      </c>
      <c r="B75" s="18">
        <v>1</v>
      </c>
      <c r="C75" s="19">
        <v>40725</v>
      </c>
      <c r="D75" s="20">
        <v>15363.5</v>
      </c>
      <c r="E75" s="21" t="b">
        <v>0</v>
      </c>
      <c r="F75" s="22">
        <f>YEAR(Table2[[#This Row],[Date]])</f>
        <v>2011</v>
      </c>
      <c r="G75" s="22" t="str">
        <f>TEXT(Table2[[#This Row],[Date]],"mmm")</f>
        <v>Jul</v>
      </c>
      <c r="H75" s="22" t="str">
        <f>TEXT(Table2[[#This Row],[Date]],"yyyy-mm")</f>
        <v>2011-07</v>
      </c>
      <c r="I75" s="22">
        <f>WEEKNUM(Table2[[#This Row],[Date]])</f>
        <v>27</v>
      </c>
      <c r="J75" s="23">
        <f>Table2[[#This Row],[Weekly_Sales]]*2</f>
        <v>30727</v>
      </c>
      <c r="K75" s="28">
        <f t="shared" si="1"/>
        <v>15514.806666666665</v>
      </c>
      <c r="L75" s="28">
        <f>Table2[[#This Row],[Weekly_Sales]]-Table2[[#This Row],[3_Week_Forecast]]</f>
        <v>-151.30666666666548</v>
      </c>
      <c r="M75" s="28">
        <f>ABS(Table2[[#This Row],[Forecast Error]]/Table2[[#This Row],[Weekly_Sales]])*100</f>
        <v>0.98484503314131211</v>
      </c>
      <c r="N75" s="23" t="str">
        <f>Table2[[#This Row],[Store]] &amp; "_" &amp; TEXT(Table2[[#This Row],[Date]],"yyyy-mm-dd")</f>
        <v>1_2011-07-01</v>
      </c>
      <c r="O75" s="23">
        <f>VLOOKUP($N75,Features!A75:N217,4,FALSE)</f>
        <v>85.55</v>
      </c>
      <c r="P75" s="27">
        <f>VLOOKUP($N75,Features!A75:N217,11,FALSE)</f>
        <v>215.1841368</v>
      </c>
      <c r="Q75" s="23">
        <f>VLOOKUP($N75,Features!A75:N217,14,FALSE)</f>
        <v>0</v>
      </c>
      <c r="R75" s="23" t="str">
        <f>IF(Table2[[#This Row],[3_Week_Forecast]]&lt;Table2[[#This Row],[Weekly_Sales]], "Underforecast", "Overforecast")</f>
        <v>Overforecast</v>
      </c>
    </row>
    <row r="76" spans="1:18">
      <c r="A76" s="17">
        <v>1</v>
      </c>
      <c r="B76" s="18">
        <v>1</v>
      </c>
      <c r="C76" s="19">
        <v>40732</v>
      </c>
      <c r="D76" s="20">
        <v>16148.87</v>
      </c>
      <c r="E76" s="21" t="b">
        <v>0</v>
      </c>
      <c r="F76" s="22">
        <f>YEAR(Table2[[#This Row],[Date]])</f>
        <v>2011</v>
      </c>
      <c r="G76" s="22" t="str">
        <f>TEXT(Table2[[#This Row],[Date]],"mmm")</f>
        <v>Jul</v>
      </c>
      <c r="H76" s="22" t="str">
        <f>TEXT(Table2[[#This Row],[Date]],"yyyy-mm")</f>
        <v>2011-07</v>
      </c>
      <c r="I76" s="22">
        <f>WEEKNUM(Table2[[#This Row],[Date]])</f>
        <v>28</v>
      </c>
      <c r="J76" s="23">
        <f>Table2[[#This Row],[Weekly_Sales]]*2</f>
        <v>32297.74</v>
      </c>
      <c r="K76" s="28">
        <f t="shared" si="1"/>
        <v>15341.466666666667</v>
      </c>
      <c r="L76" s="28">
        <f>Table2[[#This Row],[Weekly_Sales]]-Table2[[#This Row],[3_Week_Forecast]]</f>
        <v>807.40333333333365</v>
      </c>
      <c r="M76" s="28">
        <f>ABS(Table2[[#This Row],[Forecast Error]]/Table2[[#This Row],[Weekly_Sales]])*100</f>
        <v>4.9997512725864635</v>
      </c>
      <c r="N76" s="23" t="str">
        <f>Table2[[#This Row],[Store]] &amp; "_" &amp; TEXT(Table2[[#This Row],[Date]],"yyyy-mm-dd")</f>
        <v>1_2011-07-08</v>
      </c>
      <c r="O76" s="23">
        <f>VLOOKUP($N76,Features!A76:N218,4,FALSE)</f>
        <v>85.83</v>
      </c>
      <c r="P76" s="27">
        <f>VLOOKUP($N76,Features!A76:N218,11,FALSE)</f>
        <v>215.2771754</v>
      </c>
      <c r="Q76" s="23">
        <f>VLOOKUP($N76,Features!A76:N218,14,FALSE)</f>
        <v>0</v>
      </c>
      <c r="R76" s="23" t="str">
        <f>IF(Table2[[#This Row],[3_Week_Forecast]]&lt;Table2[[#This Row],[Weekly_Sales]], "Underforecast", "Overforecast")</f>
        <v>Underforecast</v>
      </c>
    </row>
    <row r="77" spans="1:18">
      <c r="A77" s="17">
        <v>1</v>
      </c>
      <c r="B77" s="18">
        <v>1</v>
      </c>
      <c r="C77" s="19">
        <v>40739</v>
      </c>
      <c r="D77" s="20">
        <v>15654.85</v>
      </c>
      <c r="E77" s="21" t="b">
        <v>0</v>
      </c>
      <c r="F77" s="22">
        <f>YEAR(Table2[[#This Row],[Date]])</f>
        <v>2011</v>
      </c>
      <c r="G77" s="22" t="str">
        <f>TEXT(Table2[[#This Row],[Date]],"mmm")</f>
        <v>Jul</v>
      </c>
      <c r="H77" s="22" t="str">
        <f>TEXT(Table2[[#This Row],[Date]],"yyyy-mm")</f>
        <v>2011-07</v>
      </c>
      <c r="I77" s="22">
        <f>WEEKNUM(Table2[[#This Row],[Date]])</f>
        <v>29</v>
      </c>
      <c r="J77" s="23">
        <f>Table2[[#This Row],[Weekly_Sales]]*2</f>
        <v>31309.7</v>
      </c>
      <c r="K77" s="28">
        <f t="shared" si="1"/>
        <v>15731.726666666667</v>
      </c>
      <c r="L77" s="28">
        <f>Table2[[#This Row],[Weekly_Sales]]-Table2[[#This Row],[3_Week_Forecast]]</f>
        <v>-76.876666666667006</v>
      </c>
      <c r="M77" s="28">
        <f>ABS(Table2[[#This Row],[Forecast Error]]/Table2[[#This Row],[Weekly_Sales]])*100</f>
        <v>0.49107252172117272</v>
      </c>
      <c r="N77" s="23" t="str">
        <f>Table2[[#This Row],[Store]] &amp; "_" &amp; TEXT(Table2[[#This Row],[Date]],"yyyy-mm-dd")</f>
        <v>1_2011-07-15</v>
      </c>
      <c r="O77" s="23">
        <f>VLOOKUP($N77,Features!A77:N219,4,FALSE)</f>
        <v>88.54</v>
      </c>
      <c r="P77" s="27">
        <f>VLOOKUP($N77,Features!A77:N219,11,FALSE)</f>
        <v>215.36110869999999</v>
      </c>
      <c r="Q77" s="23">
        <f>VLOOKUP($N77,Features!A77:N219,14,FALSE)</f>
        <v>0</v>
      </c>
      <c r="R77" s="23" t="str">
        <f>IF(Table2[[#This Row],[3_Week_Forecast]]&lt;Table2[[#This Row],[Weekly_Sales]], "Underforecast", "Overforecast")</f>
        <v>Overforecast</v>
      </c>
    </row>
    <row r="78" spans="1:18">
      <c r="A78" s="17">
        <v>1</v>
      </c>
      <c r="B78" s="18">
        <v>1</v>
      </c>
      <c r="C78" s="19">
        <v>40746</v>
      </c>
      <c r="D78" s="20">
        <v>15766.6</v>
      </c>
      <c r="E78" s="21" t="b">
        <v>0</v>
      </c>
      <c r="F78" s="22">
        <f>YEAR(Table2[[#This Row],[Date]])</f>
        <v>2011</v>
      </c>
      <c r="G78" s="22" t="str">
        <f>TEXT(Table2[[#This Row],[Date]],"mmm")</f>
        <v>Jul</v>
      </c>
      <c r="H78" s="22" t="str">
        <f>TEXT(Table2[[#This Row],[Date]],"yyyy-mm")</f>
        <v>2011-07</v>
      </c>
      <c r="I78" s="22">
        <f>WEEKNUM(Table2[[#This Row],[Date]])</f>
        <v>30</v>
      </c>
      <c r="J78" s="23">
        <f>Table2[[#This Row],[Weekly_Sales]]*2</f>
        <v>31533.200000000001</v>
      </c>
      <c r="K78" s="28">
        <f t="shared" si="1"/>
        <v>15722.406666666668</v>
      </c>
      <c r="L78" s="28">
        <f>Table2[[#This Row],[Weekly_Sales]]-Table2[[#This Row],[3_Week_Forecast]]</f>
        <v>44.193333333332703</v>
      </c>
      <c r="M78" s="28">
        <f>ABS(Table2[[#This Row],[Forecast Error]]/Table2[[#This Row],[Weekly_Sales]])*100</f>
        <v>0.28029716827554896</v>
      </c>
      <c r="N78" s="23" t="str">
        <f>Table2[[#This Row],[Store]] &amp; "_" &amp; TEXT(Table2[[#This Row],[Date]],"yyyy-mm-dd")</f>
        <v>1_2011-07-22</v>
      </c>
      <c r="O78" s="23">
        <f>VLOOKUP($N78,Features!A78:N220,4,FALSE)</f>
        <v>85.77</v>
      </c>
      <c r="P78" s="27">
        <f>VLOOKUP($N78,Features!A78:N220,11,FALSE)</f>
        <v>215.42227840000001</v>
      </c>
      <c r="Q78" s="23">
        <f>VLOOKUP($N78,Features!A78:N220,14,FALSE)</f>
        <v>0</v>
      </c>
      <c r="R78" s="23" t="str">
        <f>IF(Table2[[#This Row],[3_Week_Forecast]]&lt;Table2[[#This Row],[Weekly_Sales]], "Underforecast", "Overforecast")</f>
        <v>Underforecast</v>
      </c>
    </row>
    <row r="79" spans="1:18">
      <c r="A79" s="17">
        <v>1</v>
      </c>
      <c r="B79" s="18">
        <v>1</v>
      </c>
      <c r="C79" s="19">
        <v>40753</v>
      </c>
      <c r="D79" s="20">
        <v>15922.41</v>
      </c>
      <c r="E79" s="21" t="b">
        <v>0</v>
      </c>
      <c r="F79" s="22">
        <f>YEAR(Table2[[#This Row],[Date]])</f>
        <v>2011</v>
      </c>
      <c r="G79" s="22" t="str">
        <f>TEXT(Table2[[#This Row],[Date]],"mmm")</f>
        <v>Jul</v>
      </c>
      <c r="H79" s="22" t="str">
        <f>TEXT(Table2[[#This Row],[Date]],"yyyy-mm")</f>
        <v>2011-07</v>
      </c>
      <c r="I79" s="22">
        <f>WEEKNUM(Table2[[#This Row],[Date]])</f>
        <v>31</v>
      </c>
      <c r="J79" s="23">
        <f>Table2[[#This Row],[Weekly_Sales]]*2</f>
        <v>31844.82</v>
      </c>
      <c r="K79" s="28">
        <f t="shared" si="1"/>
        <v>15856.773333333333</v>
      </c>
      <c r="L79" s="28">
        <f>Table2[[#This Row],[Weekly_Sales]]-Table2[[#This Row],[3_Week_Forecast]]</f>
        <v>65.636666666667224</v>
      </c>
      <c r="M79" s="28">
        <f>ABS(Table2[[#This Row],[Forecast Error]]/Table2[[#This Row],[Weekly_Sales]])*100</f>
        <v>0.41222821587100961</v>
      </c>
      <c r="N79" s="23" t="str">
        <f>Table2[[#This Row],[Store]] &amp; "_" &amp; TEXT(Table2[[#This Row],[Date]],"yyyy-mm-dd")</f>
        <v>1_2011-07-29</v>
      </c>
      <c r="O79" s="23">
        <f>VLOOKUP($N79,Features!A79:N221,4,FALSE)</f>
        <v>86.83</v>
      </c>
      <c r="P79" s="27">
        <f>VLOOKUP($N79,Features!A79:N221,11,FALSE)</f>
        <v>215.4834482</v>
      </c>
      <c r="Q79" s="23">
        <f>VLOOKUP($N79,Features!A79:N221,14,FALSE)</f>
        <v>0</v>
      </c>
      <c r="R79" s="23" t="str">
        <f>IF(Table2[[#This Row],[3_Week_Forecast]]&lt;Table2[[#This Row],[Weekly_Sales]], "Underforecast", "Overforecast")</f>
        <v>Underforecast</v>
      </c>
    </row>
    <row r="80" spans="1:18">
      <c r="A80" s="17">
        <v>1</v>
      </c>
      <c r="B80" s="18">
        <v>1</v>
      </c>
      <c r="C80" s="19">
        <v>40760</v>
      </c>
      <c r="D80" s="20">
        <v>15295.55</v>
      </c>
      <c r="E80" s="21" t="b">
        <v>0</v>
      </c>
      <c r="F80" s="22">
        <f>YEAR(Table2[[#This Row],[Date]])</f>
        <v>2011</v>
      </c>
      <c r="G80" s="22" t="str">
        <f>TEXT(Table2[[#This Row],[Date]],"mmm")</f>
        <v>Aug</v>
      </c>
      <c r="H80" s="22" t="str">
        <f>TEXT(Table2[[#This Row],[Date]],"yyyy-mm")</f>
        <v>2011-08</v>
      </c>
      <c r="I80" s="22">
        <f>WEEKNUM(Table2[[#This Row],[Date]])</f>
        <v>32</v>
      </c>
      <c r="J80" s="23">
        <f>Table2[[#This Row],[Weekly_Sales]]*2</f>
        <v>30591.1</v>
      </c>
      <c r="K80" s="28">
        <f t="shared" si="1"/>
        <v>15781.286666666667</v>
      </c>
      <c r="L80" s="28">
        <f>Table2[[#This Row],[Weekly_Sales]]-Table2[[#This Row],[3_Week_Forecast]]</f>
        <v>-485.73666666666759</v>
      </c>
      <c r="M80" s="28">
        <f>ABS(Table2[[#This Row],[Forecast Error]]/Table2[[#This Row],[Weekly_Sales]])*100</f>
        <v>3.1756730988206874</v>
      </c>
      <c r="N80" s="23" t="str">
        <f>Table2[[#This Row],[Store]] &amp; "_" &amp; TEXT(Table2[[#This Row],[Date]],"yyyy-mm-dd")</f>
        <v>1_2011-08-05</v>
      </c>
      <c r="O80" s="23">
        <f>VLOOKUP($N80,Features!A80:N222,4,FALSE)</f>
        <v>91.65</v>
      </c>
      <c r="P80" s="27">
        <f>VLOOKUP($N80,Features!A80:N222,11,FALSE)</f>
        <v>215.54461800000001</v>
      </c>
      <c r="Q80" s="23">
        <f>VLOOKUP($N80,Features!A80:N222,14,FALSE)</f>
        <v>0</v>
      </c>
      <c r="R80" s="23" t="str">
        <f>IF(Table2[[#This Row],[3_Week_Forecast]]&lt;Table2[[#This Row],[Weekly_Sales]], "Underforecast", "Overforecast")</f>
        <v>Overforecast</v>
      </c>
    </row>
    <row r="81" spans="1:18">
      <c r="A81" s="17">
        <v>1</v>
      </c>
      <c r="B81" s="18">
        <v>1</v>
      </c>
      <c r="C81" s="19">
        <v>40767</v>
      </c>
      <c r="D81" s="20">
        <v>14539.79</v>
      </c>
      <c r="E81" s="21" t="b">
        <v>0</v>
      </c>
      <c r="F81" s="22">
        <f>YEAR(Table2[[#This Row],[Date]])</f>
        <v>2011</v>
      </c>
      <c r="G81" s="22" t="str">
        <f>TEXT(Table2[[#This Row],[Date]],"mmm")</f>
        <v>Aug</v>
      </c>
      <c r="H81" s="22" t="str">
        <f>TEXT(Table2[[#This Row],[Date]],"yyyy-mm")</f>
        <v>2011-08</v>
      </c>
      <c r="I81" s="22">
        <f>WEEKNUM(Table2[[#This Row],[Date]])</f>
        <v>33</v>
      </c>
      <c r="J81" s="23">
        <f>Table2[[#This Row],[Weekly_Sales]]*2</f>
        <v>29079.58</v>
      </c>
      <c r="K81" s="28">
        <f t="shared" si="1"/>
        <v>15661.519999999999</v>
      </c>
      <c r="L81" s="28">
        <f>Table2[[#This Row],[Weekly_Sales]]-Table2[[#This Row],[3_Week_Forecast]]</f>
        <v>-1121.7299999999977</v>
      </c>
      <c r="M81" s="28">
        <f>ABS(Table2[[#This Row],[Forecast Error]]/Table2[[#This Row],[Weekly_Sales]])*100</f>
        <v>7.7148982206757992</v>
      </c>
      <c r="N81" s="23" t="str">
        <f>Table2[[#This Row],[Store]] &amp; "_" &amp; TEXT(Table2[[#This Row],[Date]],"yyyy-mm-dd")</f>
        <v>1_2011-08-12</v>
      </c>
      <c r="O81" s="23">
        <f>VLOOKUP($N81,Features!A81:N223,4,FALSE)</f>
        <v>90.76</v>
      </c>
      <c r="P81" s="27">
        <f>VLOOKUP($N81,Features!A81:N223,11,FALSE)</f>
        <v>215.6057878</v>
      </c>
      <c r="Q81" s="23">
        <f>VLOOKUP($N81,Features!A81:N223,14,FALSE)</f>
        <v>0</v>
      </c>
      <c r="R81" s="23" t="str">
        <f>IF(Table2[[#This Row],[3_Week_Forecast]]&lt;Table2[[#This Row],[Weekly_Sales]], "Underforecast", "Overforecast")</f>
        <v>Overforecast</v>
      </c>
    </row>
    <row r="82" spans="1:18">
      <c r="A82" s="17">
        <v>1</v>
      </c>
      <c r="B82" s="18">
        <v>1</v>
      </c>
      <c r="C82" s="19">
        <v>40774</v>
      </c>
      <c r="D82" s="20">
        <v>14689.24</v>
      </c>
      <c r="E82" s="21" t="b">
        <v>0</v>
      </c>
      <c r="F82" s="22">
        <f>YEAR(Table2[[#This Row],[Date]])</f>
        <v>2011</v>
      </c>
      <c r="G82" s="22" t="str">
        <f>TEXT(Table2[[#This Row],[Date]],"mmm")</f>
        <v>Aug</v>
      </c>
      <c r="H82" s="22" t="str">
        <f>TEXT(Table2[[#This Row],[Date]],"yyyy-mm")</f>
        <v>2011-08</v>
      </c>
      <c r="I82" s="22">
        <f>WEEKNUM(Table2[[#This Row],[Date]])</f>
        <v>34</v>
      </c>
      <c r="J82" s="23">
        <f>Table2[[#This Row],[Weekly_Sales]]*2</f>
        <v>29378.48</v>
      </c>
      <c r="K82" s="28">
        <f t="shared" si="1"/>
        <v>15252.583333333334</v>
      </c>
      <c r="L82" s="28">
        <f>Table2[[#This Row],[Weekly_Sales]]-Table2[[#This Row],[3_Week_Forecast]]</f>
        <v>-563.34333333333416</v>
      </c>
      <c r="M82" s="28">
        <f>ABS(Table2[[#This Row],[Forecast Error]]/Table2[[#This Row],[Weekly_Sales]])*100</f>
        <v>3.835074744053022</v>
      </c>
      <c r="N82" s="23" t="str">
        <f>Table2[[#This Row],[Store]] &amp; "_" &amp; TEXT(Table2[[#This Row],[Date]],"yyyy-mm-dd")</f>
        <v>1_2011-08-19</v>
      </c>
      <c r="O82" s="23">
        <f>VLOOKUP($N82,Features!A82:N224,4,FALSE)</f>
        <v>89.94</v>
      </c>
      <c r="P82" s="27">
        <f>VLOOKUP($N82,Features!A82:N224,11,FALSE)</f>
        <v>215.66931070000001</v>
      </c>
      <c r="Q82" s="23">
        <f>VLOOKUP($N82,Features!A82:N224,14,FALSE)</f>
        <v>0</v>
      </c>
      <c r="R82" s="23" t="str">
        <f>IF(Table2[[#This Row],[3_Week_Forecast]]&lt;Table2[[#This Row],[Weekly_Sales]], "Underforecast", "Overforecast")</f>
        <v>Overforecast</v>
      </c>
    </row>
    <row r="83" spans="1:18">
      <c r="A83" s="17">
        <v>1</v>
      </c>
      <c r="B83" s="18">
        <v>1</v>
      </c>
      <c r="C83" s="19">
        <v>40781</v>
      </c>
      <c r="D83" s="20">
        <v>14537.37</v>
      </c>
      <c r="E83" s="21" t="b">
        <v>0</v>
      </c>
      <c r="F83" s="22">
        <f>YEAR(Table2[[#This Row],[Date]])</f>
        <v>2011</v>
      </c>
      <c r="G83" s="22" t="str">
        <f>TEXT(Table2[[#This Row],[Date]],"mmm")</f>
        <v>Aug</v>
      </c>
      <c r="H83" s="22" t="str">
        <f>TEXT(Table2[[#This Row],[Date]],"yyyy-mm")</f>
        <v>2011-08</v>
      </c>
      <c r="I83" s="22">
        <f>WEEKNUM(Table2[[#This Row],[Date]])</f>
        <v>35</v>
      </c>
      <c r="J83" s="23">
        <f>Table2[[#This Row],[Weekly_Sales]]*2</f>
        <v>29074.74</v>
      </c>
      <c r="K83" s="28">
        <f t="shared" si="1"/>
        <v>14841.526666666667</v>
      </c>
      <c r="L83" s="28">
        <f>Table2[[#This Row],[Weekly_Sales]]-Table2[[#This Row],[3_Week_Forecast]]</f>
        <v>-304.15666666666584</v>
      </c>
      <c r="M83" s="28">
        <f>ABS(Table2[[#This Row],[Forecast Error]]/Table2[[#This Row],[Weekly_Sales]])*100</f>
        <v>2.0922399764652466</v>
      </c>
      <c r="N83" s="23" t="str">
        <f>Table2[[#This Row],[Store]] &amp; "_" &amp; TEXT(Table2[[#This Row],[Date]],"yyyy-mm-dd")</f>
        <v>1_2011-08-26</v>
      </c>
      <c r="O83" s="23">
        <f>VLOOKUP($N83,Features!A83:N225,4,FALSE)</f>
        <v>87.96</v>
      </c>
      <c r="P83" s="27">
        <f>VLOOKUP($N83,Features!A83:N225,11,FALSE)</f>
        <v>215.73322580000001</v>
      </c>
      <c r="Q83" s="23">
        <f>VLOOKUP($N83,Features!A83:N225,14,FALSE)</f>
        <v>0</v>
      </c>
      <c r="R83" s="23" t="str">
        <f>IF(Table2[[#This Row],[3_Week_Forecast]]&lt;Table2[[#This Row],[Weekly_Sales]], "Underforecast", "Overforecast")</f>
        <v>Overforecast</v>
      </c>
    </row>
    <row r="84" spans="1:18">
      <c r="A84" s="17">
        <v>1</v>
      </c>
      <c r="B84" s="18">
        <v>1</v>
      </c>
      <c r="C84" s="19">
        <v>40788</v>
      </c>
      <c r="D84" s="20">
        <v>15277.27</v>
      </c>
      <c r="E84" s="21" t="b">
        <v>0</v>
      </c>
      <c r="F84" s="22">
        <f>YEAR(Table2[[#This Row],[Date]])</f>
        <v>2011</v>
      </c>
      <c r="G84" s="22" t="str">
        <f>TEXT(Table2[[#This Row],[Date]],"mmm")</f>
        <v>Sep</v>
      </c>
      <c r="H84" s="22" t="str">
        <f>TEXT(Table2[[#This Row],[Date]],"yyyy-mm")</f>
        <v>2011-09</v>
      </c>
      <c r="I84" s="22">
        <f>WEEKNUM(Table2[[#This Row],[Date]])</f>
        <v>36</v>
      </c>
      <c r="J84" s="23">
        <f>Table2[[#This Row],[Weekly_Sales]]*2</f>
        <v>30554.54</v>
      </c>
      <c r="K84" s="28">
        <f t="shared" si="1"/>
        <v>14588.800000000001</v>
      </c>
      <c r="L84" s="28">
        <f>Table2[[#This Row],[Weekly_Sales]]-Table2[[#This Row],[3_Week_Forecast]]</f>
        <v>688.46999999999935</v>
      </c>
      <c r="M84" s="28">
        <f>ABS(Table2[[#This Row],[Forecast Error]]/Table2[[#This Row],[Weekly_Sales]])*100</f>
        <v>4.5064988705442746</v>
      </c>
      <c r="N84" s="23" t="str">
        <f>Table2[[#This Row],[Store]] &amp; "_" &amp; TEXT(Table2[[#This Row],[Date]],"yyyy-mm-dd")</f>
        <v>1_2011-09-02</v>
      </c>
      <c r="O84" s="23">
        <f>VLOOKUP($N84,Features!A84:N226,4,FALSE)</f>
        <v>87.83</v>
      </c>
      <c r="P84" s="27">
        <f>VLOOKUP($N84,Features!A84:N226,11,FALSE)</f>
        <v>215.79714089999999</v>
      </c>
      <c r="Q84" s="23">
        <f>VLOOKUP($N84,Features!A84:N226,14,FALSE)</f>
        <v>0</v>
      </c>
      <c r="R84" s="23" t="str">
        <f>IF(Table2[[#This Row],[3_Week_Forecast]]&lt;Table2[[#This Row],[Weekly_Sales]], "Underforecast", "Overforecast")</f>
        <v>Underforecast</v>
      </c>
    </row>
    <row r="85" spans="1:18">
      <c r="A85" s="17">
        <v>1</v>
      </c>
      <c r="B85" s="18">
        <v>1</v>
      </c>
      <c r="C85" s="19">
        <v>40795</v>
      </c>
      <c r="D85" s="20">
        <v>17746.68</v>
      </c>
      <c r="E85" s="21" t="b">
        <v>1</v>
      </c>
      <c r="F85" s="22">
        <f>YEAR(Table2[[#This Row],[Date]])</f>
        <v>2011</v>
      </c>
      <c r="G85" s="22" t="str">
        <f>TEXT(Table2[[#This Row],[Date]],"mmm")</f>
        <v>Sep</v>
      </c>
      <c r="H85" s="22" t="str">
        <f>TEXT(Table2[[#This Row],[Date]],"yyyy-mm")</f>
        <v>2011-09</v>
      </c>
      <c r="I85" s="22">
        <f>WEEKNUM(Table2[[#This Row],[Date]])</f>
        <v>37</v>
      </c>
      <c r="J85" s="23">
        <f>Table2[[#This Row],[Weekly_Sales]]*2</f>
        <v>35493.360000000001</v>
      </c>
      <c r="K85" s="28">
        <f t="shared" si="1"/>
        <v>14834.626666666669</v>
      </c>
      <c r="L85" s="28">
        <f>Table2[[#This Row],[Weekly_Sales]]-Table2[[#This Row],[3_Week_Forecast]]</f>
        <v>2912.0533333333315</v>
      </c>
      <c r="M85" s="28">
        <f>ABS(Table2[[#This Row],[Forecast Error]]/Table2[[#This Row],[Weekly_Sales]])*100</f>
        <v>16.409003449283649</v>
      </c>
      <c r="N85" s="23" t="str">
        <f>Table2[[#This Row],[Store]] &amp; "_" &amp; TEXT(Table2[[#This Row],[Date]],"yyyy-mm-dd")</f>
        <v>1_2011-09-09</v>
      </c>
      <c r="O85" s="23">
        <f>VLOOKUP($N85,Features!A85:N227,4,FALSE)</f>
        <v>76</v>
      </c>
      <c r="P85" s="27">
        <f>VLOOKUP($N85,Features!A85:N227,11,FALSE)</f>
        <v>215.86105599999999</v>
      </c>
      <c r="Q85" s="23">
        <f>VLOOKUP($N85,Features!A85:N227,14,FALSE)</f>
        <v>0</v>
      </c>
      <c r="R85" s="23" t="str">
        <f>IF(Table2[[#This Row],[3_Week_Forecast]]&lt;Table2[[#This Row],[Weekly_Sales]], "Underforecast", "Overforecast")</f>
        <v>Underforecast</v>
      </c>
    </row>
    <row r="86" spans="1:18">
      <c r="A86" s="17">
        <v>1</v>
      </c>
      <c r="B86" s="18">
        <v>1</v>
      </c>
      <c r="C86" s="19">
        <v>40802</v>
      </c>
      <c r="D86" s="20">
        <v>18535.48</v>
      </c>
      <c r="E86" s="21" t="b">
        <v>0</v>
      </c>
      <c r="F86" s="22">
        <f>YEAR(Table2[[#This Row],[Date]])</f>
        <v>2011</v>
      </c>
      <c r="G86" s="22" t="str">
        <f>TEXT(Table2[[#This Row],[Date]],"mmm")</f>
        <v>Sep</v>
      </c>
      <c r="H86" s="22" t="str">
        <f>TEXT(Table2[[#This Row],[Date]],"yyyy-mm")</f>
        <v>2011-09</v>
      </c>
      <c r="I86" s="22">
        <f>WEEKNUM(Table2[[#This Row],[Date]])</f>
        <v>38</v>
      </c>
      <c r="J86" s="23">
        <f>Table2[[#This Row],[Weekly_Sales]]*2</f>
        <v>37070.959999999999</v>
      </c>
      <c r="K86" s="28">
        <f t="shared" si="1"/>
        <v>15853.773333333333</v>
      </c>
      <c r="L86" s="28">
        <f>Table2[[#This Row],[Weekly_Sales]]-Table2[[#This Row],[3_Week_Forecast]]</f>
        <v>2681.7066666666669</v>
      </c>
      <c r="M86" s="28">
        <f>ABS(Table2[[#This Row],[Forecast Error]]/Table2[[#This Row],[Weekly_Sales]])*100</f>
        <v>14.467964501953373</v>
      </c>
      <c r="N86" s="23" t="str">
        <f>Table2[[#This Row],[Store]] &amp; "_" &amp; TEXT(Table2[[#This Row],[Date]],"yyyy-mm-dd")</f>
        <v>1_2011-09-16</v>
      </c>
      <c r="O86" s="23">
        <f>VLOOKUP($N86,Features!A86:N228,4,FALSE)</f>
        <v>79.94</v>
      </c>
      <c r="P86" s="27">
        <f>VLOOKUP($N86,Features!A86:N228,11,FALSE)</f>
        <v>216.0410526</v>
      </c>
      <c r="Q86" s="23">
        <f>VLOOKUP($N86,Features!A86:N228,14,FALSE)</f>
        <v>0</v>
      </c>
      <c r="R86" s="23" t="str">
        <f>IF(Table2[[#This Row],[3_Week_Forecast]]&lt;Table2[[#This Row],[Weekly_Sales]], "Underforecast", "Overforecast")</f>
        <v>Underforecast</v>
      </c>
    </row>
    <row r="87" spans="1:18">
      <c r="A87" s="17">
        <v>1</v>
      </c>
      <c r="B87" s="18">
        <v>1</v>
      </c>
      <c r="C87" s="19">
        <v>40809</v>
      </c>
      <c r="D87" s="20">
        <v>17859.3</v>
      </c>
      <c r="E87" s="21" t="b">
        <v>0</v>
      </c>
      <c r="F87" s="22">
        <f>YEAR(Table2[[#This Row],[Date]])</f>
        <v>2011</v>
      </c>
      <c r="G87" s="22" t="str">
        <f>TEXT(Table2[[#This Row],[Date]],"mmm")</f>
        <v>Sep</v>
      </c>
      <c r="H87" s="22" t="str">
        <f>TEXT(Table2[[#This Row],[Date]],"yyyy-mm")</f>
        <v>2011-09</v>
      </c>
      <c r="I87" s="22">
        <f>WEEKNUM(Table2[[#This Row],[Date]])</f>
        <v>39</v>
      </c>
      <c r="J87" s="23">
        <f>Table2[[#This Row],[Weekly_Sales]]*2</f>
        <v>35718.6</v>
      </c>
      <c r="K87" s="28">
        <f t="shared" si="1"/>
        <v>17186.476666666666</v>
      </c>
      <c r="L87" s="28">
        <f>Table2[[#This Row],[Weekly_Sales]]-Table2[[#This Row],[3_Week_Forecast]]</f>
        <v>672.82333333333372</v>
      </c>
      <c r="M87" s="28">
        <f>ABS(Table2[[#This Row],[Forecast Error]]/Table2[[#This Row],[Weekly_Sales]])*100</f>
        <v>3.7673555701137991</v>
      </c>
      <c r="N87" s="23" t="str">
        <f>Table2[[#This Row],[Store]] &amp; "_" &amp; TEXT(Table2[[#This Row],[Date]],"yyyy-mm-dd")</f>
        <v>1_2011-09-23</v>
      </c>
      <c r="O87" s="23">
        <f>VLOOKUP($N87,Features!A87:N229,4,FALSE)</f>
        <v>75.8</v>
      </c>
      <c r="P87" s="27">
        <f>VLOOKUP($N87,Features!A87:N229,11,FALSE)</f>
        <v>216.37582459999999</v>
      </c>
      <c r="Q87" s="23">
        <f>VLOOKUP($N87,Features!A87:N229,14,FALSE)</f>
        <v>0</v>
      </c>
      <c r="R87" s="23" t="str">
        <f>IF(Table2[[#This Row],[3_Week_Forecast]]&lt;Table2[[#This Row],[Weekly_Sales]], "Underforecast", "Overforecast")</f>
        <v>Underforecast</v>
      </c>
    </row>
    <row r="88" spans="1:18">
      <c r="A88" s="17">
        <v>1</v>
      </c>
      <c r="B88" s="18">
        <v>1</v>
      </c>
      <c r="C88" s="19">
        <v>40816</v>
      </c>
      <c r="D88" s="20">
        <v>18337.68</v>
      </c>
      <c r="E88" s="21" t="b">
        <v>0</v>
      </c>
      <c r="F88" s="22">
        <f>YEAR(Table2[[#This Row],[Date]])</f>
        <v>2011</v>
      </c>
      <c r="G88" s="22" t="str">
        <f>TEXT(Table2[[#This Row],[Date]],"mmm")</f>
        <v>Sep</v>
      </c>
      <c r="H88" s="22" t="str">
        <f>TEXT(Table2[[#This Row],[Date]],"yyyy-mm")</f>
        <v>2011-09</v>
      </c>
      <c r="I88" s="22">
        <f>WEEKNUM(Table2[[#This Row],[Date]])</f>
        <v>40</v>
      </c>
      <c r="J88" s="23">
        <f>Table2[[#This Row],[Weekly_Sales]]*2</f>
        <v>36675.360000000001</v>
      </c>
      <c r="K88" s="28">
        <f t="shared" si="1"/>
        <v>18047.153333333335</v>
      </c>
      <c r="L88" s="28">
        <f>Table2[[#This Row],[Weekly_Sales]]-Table2[[#This Row],[3_Week_Forecast]]</f>
        <v>290.52666666666482</v>
      </c>
      <c r="M88" s="28">
        <f>ABS(Table2[[#This Row],[Forecast Error]]/Table2[[#This Row],[Weekly_Sales]])*100</f>
        <v>1.5843152823403224</v>
      </c>
      <c r="N88" s="23" t="str">
        <f>Table2[[#This Row],[Store]] &amp; "_" &amp; TEXT(Table2[[#This Row],[Date]],"yyyy-mm-dd")</f>
        <v>1_2011-09-30</v>
      </c>
      <c r="O88" s="23">
        <f>VLOOKUP($N88,Features!A88:N230,4,FALSE)</f>
        <v>79.69</v>
      </c>
      <c r="P88" s="27">
        <f>VLOOKUP($N88,Features!A88:N230,11,FALSE)</f>
        <v>216.71059650000001</v>
      </c>
      <c r="Q88" s="23">
        <f>VLOOKUP($N88,Features!A88:N230,14,FALSE)</f>
        <v>0</v>
      </c>
      <c r="R88" s="23" t="str">
        <f>IF(Table2[[#This Row],[3_Week_Forecast]]&lt;Table2[[#This Row],[Weekly_Sales]], "Underforecast", "Overforecast")</f>
        <v>Underforecast</v>
      </c>
    </row>
    <row r="89" spans="1:18">
      <c r="A89" s="17">
        <v>1</v>
      </c>
      <c r="B89" s="18">
        <v>1</v>
      </c>
      <c r="C89" s="19">
        <v>40823</v>
      </c>
      <c r="D89" s="20">
        <v>20797.580000000002</v>
      </c>
      <c r="E89" s="21" t="b">
        <v>0</v>
      </c>
      <c r="F89" s="22">
        <f>YEAR(Table2[[#This Row],[Date]])</f>
        <v>2011</v>
      </c>
      <c r="G89" s="22" t="str">
        <f>TEXT(Table2[[#This Row],[Date]],"mmm")</f>
        <v>Oct</v>
      </c>
      <c r="H89" s="22" t="str">
        <f>TEXT(Table2[[#This Row],[Date]],"yyyy-mm")</f>
        <v>2011-10</v>
      </c>
      <c r="I89" s="22">
        <f>WEEKNUM(Table2[[#This Row],[Date]])</f>
        <v>41</v>
      </c>
      <c r="J89" s="23">
        <f>Table2[[#This Row],[Weekly_Sales]]*2</f>
        <v>41595.160000000003</v>
      </c>
      <c r="K89" s="28">
        <f t="shared" si="1"/>
        <v>18244.153333333332</v>
      </c>
      <c r="L89" s="28">
        <f>Table2[[#This Row],[Weekly_Sales]]-Table2[[#This Row],[3_Week_Forecast]]</f>
        <v>2553.4266666666699</v>
      </c>
      <c r="M89" s="28">
        <f>ABS(Table2[[#This Row],[Forecast Error]]/Table2[[#This Row],[Weekly_Sales]])*100</f>
        <v>12.277518185609431</v>
      </c>
      <c r="N89" s="23" t="str">
        <f>Table2[[#This Row],[Store]] &amp; "_" &amp; TEXT(Table2[[#This Row],[Date]],"yyyy-mm-dd")</f>
        <v>1_2011-10-07</v>
      </c>
      <c r="O89" s="23">
        <f>VLOOKUP($N89,Features!A89:N231,4,FALSE)</f>
        <v>69.31</v>
      </c>
      <c r="P89" s="27">
        <f>VLOOKUP($N89,Features!A89:N231,11,FALSE)</f>
        <v>217.0453684</v>
      </c>
      <c r="Q89" s="23">
        <f>VLOOKUP($N89,Features!A89:N231,14,FALSE)</f>
        <v>0</v>
      </c>
      <c r="R89" s="23" t="str">
        <f>IF(Table2[[#This Row],[3_Week_Forecast]]&lt;Table2[[#This Row],[Weekly_Sales]], "Underforecast", "Overforecast")</f>
        <v>Underforecast</v>
      </c>
    </row>
    <row r="90" spans="1:18">
      <c r="A90" s="17">
        <v>1</v>
      </c>
      <c r="B90" s="18">
        <v>1</v>
      </c>
      <c r="C90" s="19">
        <v>40830</v>
      </c>
      <c r="D90" s="20">
        <v>23077.55</v>
      </c>
      <c r="E90" s="21" t="b">
        <v>0</v>
      </c>
      <c r="F90" s="22">
        <f>YEAR(Table2[[#This Row],[Date]])</f>
        <v>2011</v>
      </c>
      <c r="G90" s="22" t="str">
        <f>TEXT(Table2[[#This Row],[Date]],"mmm")</f>
        <v>Oct</v>
      </c>
      <c r="H90" s="22" t="str">
        <f>TEXT(Table2[[#This Row],[Date]],"yyyy-mm")</f>
        <v>2011-10</v>
      </c>
      <c r="I90" s="22">
        <f>WEEKNUM(Table2[[#This Row],[Date]])</f>
        <v>42</v>
      </c>
      <c r="J90" s="23">
        <f>Table2[[#This Row],[Weekly_Sales]]*2</f>
        <v>46155.1</v>
      </c>
      <c r="K90" s="28">
        <f t="shared" si="1"/>
        <v>18998.186666666665</v>
      </c>
      <c r="L90" s="28">
        <f>Table2[[#This Row],[Weekly_Sales]]-Table2[[#This Row],[3_Week_Forecast]]</f>
        <v>4079.3633333333346</v>
      </c>
      <c r="M90" s="28">
        <f>ABS(Table2[[#This Row],[Forecast Error]]/Table2[[#This Row],[Weekly_Sales]])*100</f>
        <v>17.676760892440203</v>
      </c>
      <c r="N90" s="23" t="str">
        <f>Table2[[#This Row],[Store]] &amp; "_" &amp; TEXT(Table2[[#This Row],[Date]],"yyyy-mm-dd")</f>
        <v>1_2011-10-14</v>
      </c>
      <c r="O90" s="23">
        <f>VLOOKUP($N90,Features!A90:N232,4,FALSE)</f>
        <v>71.739999999999995</v>
      </c>
      <c r="P90" s="27">
        <f>VLOOKUP($N90,Features!A90:N232,11,FALSE)</f>
        <v>217.35527329999999</v>
      </c>
      <c r="Q90" s="23">
        <f>VLOOKUP($N90,Features!A90:N232,14,FALSE)</f>
        <v>0</v>
      </c>
      <c r="R90" s="23" t="str">
        <f>IF(Table2[[#This Row],[3_Week_Forecast]]&lt;Table2[[#This Row],[Weekly_Sales]], "Underforecast", "Overforecast")</f>
        <v>Underforecast</v>
      </c>
    </row>
    <row r="91" spans="1:18">
      <c r="A91" s="17">
        <v>1</v>
      </c>
      <c r="B91" s="18">
        <v>1</v>
      </c>
      <c r="C91" s="19">
        <v>40837</v>
      </c>
      <c r="D91" s="20">
        <v>23351.8</v>
      </c>
      <c r="E91" s="21" t="b">
        <v>0</v>
      </c>
      <c r="F91" s="22">
        <f>YEAR(Table2[[#This Row],[Date]])</f>
        <v>2011</v>
      </c>
      <c r="G91" s="22" t="str">
        <f>TEXT(Table2[[#This Row],[Date]],"mmm")</f>
        <v>Oct</v>
      </c>
      <c r="H91" s="22" t="str">
        <f>TEXT(Table2[[#This Row],[Date]],"yyyy-mm")</f>
        <v>2011-10</v>
      </c>
      <c r="I91" s="22">
        <f>WEEKNUM(Table2[[#This Row],[Date]])</f>
        <v>43</v>
      </c>
      <c r="J91" s="23">
        <f>Table2[[#This Row],[Weekly_Sales]]*2</f>
        <v>46703.6</v>
      </c>
      <c r="K91" s="28">
        <f t="shared" si="1"/>
        <v>20737.603333333333</v>
      </c>
      <c r="L91" s="28">
        <f>Table2[[#This Row],[Weekly_Sales]]-Table2[[#This Row],[3_Week_Forecast]]</f>
        <v>2614.1966666666667</v>
      </c>
      <c r="M91" s="28">
        <f>ABS(Table2[[#This Row],[Forecast Error]]/Table2[[#This Row],[Weekly_Sales]])*100</f>
        <v>11.194840083705182</v>
      </c>
      <c r="N91" s="23" t="str">
        <f>Table2[[#This Row],[Store]] &amp; "_" &amp; TEXT(Table2[[#This Row],[Date]],"yyyy-mm-dd")</f>
        <v>1_2011-10-21</v>
      </c>
      <c r="O91" s="23">
        <f>VLOOKUP($N91,Features!A91:N233,4,FALSE)</f>
        <v>63.71</v>
      </c>
      <c r="P91" s="27">
        <f>VLOOKUP($N91,Features!A91:N233,11,FALSE)</f>
        <v>217.51597620000001</v>
      </c>
      <c r="Q91" s="23">
        <f>VLOOKUP($N91,Features!A91:N233,14,FALSE)</f>
        <v>0</v>
      </c>
      <c r="R91" s="23" t="str">
        <f>IF(Table2[[#This Row],[3_Week_Forecast]]&lt;Table2[[#This Row],[Weekly_Sales]], "Underforecast", "Overforecast")</f>
        <v>Underforecast</v>
      </c>
    </row>
    <row r="92" spans="1:18">
      <c r="A92" s="17">
        <v>1</v>
      </c>
      <c r="B92" s="18">
        <v>1</v>
      </c>
      <c r="C92" s="19">
        <v>40844</v>
      </c>
      <c r="D92" s="20">
        <v>31579.9</v>
      </c>
      <c r="E92" s="21" t="b">
        <v>0</v>
      </c>
      <c r="F92" s="22">
        <f>YEAR(Table2[[#This Row],[Date]])</f>
        <v>2011</v>
      </c>
      <c r="G92" s="22" t="str">
        <f>TEXT(Table2[[#This Row],[Date]],"mmm")</f>
        <v>Oct</v>
      </c>
      <c r="H92" s="22" t="str">
        <f>TEXT(Table2[[#This Row],[Date]],"yyyy-mm")</f>
        <v>2011-10</v>
      </c>
      <c r="I92" s="22">
        <f>WEEKNUM(Table2[[#This Row],[Date]])</f>
        <v>44</v>
      </c>
      <c r="J92" s="23">
        <f>Table2[[#This Row],[Weekly_Sales]]*2</f>
        <v>63159.8</v>
      </c>
      <c r="K92" s="28">
        <f t="shared" si="1"/>
        <v>22408.976666666669</v>
      </c>
      <c r="L92" s="28">
        <f>Table2[[#This Row],[Weekly_Sales]]-Table2[[#This Row],[3_Week_Forecast]]</f>
        <v>9170.9233333333323</v>
      </c>
      <c r="M92" s="28">
        <f>ABS(Table2[[#This Row],[Forecast Error]]/Table2[[#This Row],[Weekly_Sales]])*100</f>
        <v>29.040381170723567</v>
      </c>
      <c r="N92" s="23" t="str">
        <f>Table2[[#This Row],[Store]] &amp; "_" &amp; TEXT(Table2[[#This Row],[Date]],"yyyy-mm-dd")</f>
        <v>1_2011-10-28</v>
      </c>
      <c r="O92" s="23">
        <f>VLOOKUP($N92,Features!A92:N234,4,FALSE)</f>
        <v>66.569999999999993</v>
      </c>
      <c r="P92" s="27">
        <f>VLOOKUP($N92,Features!A92:N234,11,FALSE)</f>
        <v>217.6766791</v>
      </c>
      <c r="Q92" s="23">
        <f>VLOOKUP($N92,Features!A92:N234,14,FALSE)</f>
        <v>0</v>
      </c>
      <c r="R92" s="23" t="str">
        <f>IF(Table2[[#This Row],[3_Week_Forecast]]&lt;Table2[[#This Row],[Weekly_Sales]], "Underforecast", "Overforecast")</f>
        <v>Underforecast</v>
      </c>
    </row>
    <row r="93" spans="1:18">
      <c r="A93" s="17">
        <v>1</v>
      </c>
      <c r="B93" s="18">
        <v>1</v>
      </c>
      <c r="C93" s="19">
        <v>40851</v>
      </c>
      <c r="D93" s="20">
        <v>39886.06</v>
      </c>
      <c r="E93" s="21" t="b">
        <v>0</v>
      </c>
      <c r="F93" s="22">
        <f>YEAR(Table2[[#This Row],[Date]])</f>
        <v>2011</v>
      </c>
      <c r="G93" s="22" t="str">
        <f>TEXT(Table2[[#This Row],[Date]],"mmm")</f>
        <v>Nov</v>
      </c>
      <c r="H93" s="22" t="str">
        <f>TEXT(Table2[[#This Row],[Date]],"yyyy-mm")</f>
        <v>2011-11</v>
      </c>
      <c r="I93" s="22">
        <f>WEEKNUM(Table2[[#This Row],[Date]])</f>
        <v>45</v>
      </c>
      <c r="J93" s="23">
        <f>Table2[[#This Row],[Weekly_Sales]]*2</f>
        <v>79772.12</v>
      </c>
      <c r="K93" s="28">
        <f t="shared" si="1"/>
        <v>26003.083333333332</v>
      </c>
      <c r="L93" s="28">
        <f>Table2[[#This Row],[Weekly_Sales]]-Table2[[#This Row],[3_Week_Forecast]]</f>
        <v>13882.976666666666</v>
      </c>
      <c r="M93" s="28">
        <f>ABS(Table2[[#This Row],[Forecast Error]]/Table2[[#This Row],[Weekly_Sales]])*100</f>
        <v>34.806588233249073</v>
      </c>
      <c r="N93" s="23" t="str">
        <f>Table2[[#This Row],[Store]] &amp; "_" &amp; TEXT(Table2[[#This Row],[Date]],"yyyy-mm-dd")</f>
        <v>1_2011-11-04</v>
      </c>
      <c r="O93" s="23">
        <f>VLOOKUP($N93,Features!A93:N235,4,FALSE)</f>
        <v>54.98</v>
      </c>
      <c r="P93" s="27">
        <f>VLOOKUP($N93,Features!A93:N235,11,FALSE)</f>
        <v>217.83738199999999</v>
      </c>
      <c r="Q93" s="23">
        <f>VLOOKUP($N93,Features!A93:N235,14,FALSE)</f>
        <v>0</v>
      </c>
      <c r="R93" s="23" t="str">
        <f>IF(Table2[[#This Row],[3_Week_Forecast]]&lt;Table2[[#This Row],[Weekly_Sales]], "Underforecast", "Overforecast")</f>
        <v>Underforecast</v>
      </c>
    </row>
    <row r="94" spans="1:18">
      <c r="A94" s="17">
        <v>1</v>
      </c>
      <c r="B94" s="18">
        <v>1</v>
      </c>
      <c r="C94" s="19">
        <v>40858</v>
      </c>
      <c r="D94" s="20">
        <v>18689.54</v>
      </c>
      <c r="E94" s="21" t="b">
        <v>0</v>
      </c>
      <c r="F94" s="22">
        <f>YEAR(Table2[[#This Row],[Date]])</f>
        <v>2011</v>
      </c>
      <c r="G94" s="22" t="str">
        <f>TEXT(Table2[[#This Row],[Date]],"mmm")</f>
        <v>Nov</v>
      </c>
      <c r="H94" s="22" t="str">
        <f>TEXT(Table2[[#This Row],[Date]],"yyyy-mm")</f>
        <v>2011-11</v>
      </c>
      <c r="I94" s="22">
        <f>WEEKNUM(Table2[[#This Row],[Date]])</f>
        <v>46</v>
      </c>
      <c r="J94" s="23">
        <f>Table2[[#This Row],[Weekly_Sales]]*2</f>
        <v>37379.08</v>
      </c>
      <c r="K94" s="28">
        <f t="shared" si="1"/>
        <v>31605.919999999998</v>
      </c>
      <c r="L94" s="28">
        <f>Table2[[#This Row],[Weekly_Sales]]-Table2[[#This Row],[3_Week_Forecast]]</f>
        <v>-12916.379999999997</v>
      </c>
      <c r="M94" s="28">
        <f>ABS(Table2[[#This Row],[Forecast Error]]/Table2[[#This Row],[Weekly_Sales]])*100</f>
        <v>69.110208169917485</v>
      </c>
      <c r="N94" s="23" t="str">
        <f>Table2[[#This Row],[Store]] &amp; "_" &amp; TEXT(Table2[[#This Row],[Date]],"yyyy-mm-dd")</f>
        <v>1_2011-11-11</v>
      </c>
      <c r="O94" s="23">
        <f>VLOOKUP($N94,Features!A94:N236,4,FALSE)</f>
        <v>59.11</v>
      </c>
      <c r="P94" s="27">
        <f>VLOOKUP($N94,Features!A94:N236,11,FALSE)</f>
        <v>217.99808490000001</v>
      </c>
      <c r="Q94" s="23">
        <f>VLOOKUP($N94,Features!A94:N236,14,FALSE)</f>
        <v>25671.68</v>
      </c>
      <c r="R94" s="23" t="str">
        <f>IF(Table2[[#This Row],[3_Week_Forecast]]&lt;Table2[[#This Row],[Weekly_Sales]], "Underforecast", "Overforecast")</f>
        <v>Overforecast</v>
      </c>
    </row>
    <row r="95" spans="1:18">
      <c r="A95" s="17">
        <v>1</v>
      </c>
      <c r="B95" s="18">
        <v>1</v>
      </c>
      <c r="C95" s="19">
        <v>40865</v>
      </c>
      <c r="D95" s="20">
        <v>19050.66</v>
      </c>
      <c r="E95" s="21" t="b">
        <v>0</v>
      </c>
      <c r="F95" s="22">
        <f>YEAR(Table2[[#This Row],[Date]])</f>
        <v>2011</v>
      </c>
      <c r="G95" s="22" t="str">
        <f>TEXT(Table2[[#This Row],[Date]],"mmm")</f>
        <v>Nov</v>
      </c>
      <c r="H95" s="22" t="str">
        <f>TEXT(Table2[[#This Row],[Date]],"yyyy-mm")</f>
        <v>2011-11</v>
      </c>
      <c r="I95" s="22">
        <f>WEEKNUM(Table2[[#This Row],[Date]])</f>
        <v>47</v>
      </c>
      <c r="J95" s="23">
        <f>Table2[[#This Row],[Weekly_Sales]]*2</f>
        <v>38101.32</v>
      </c>
      <c r="K95" s="28">
        <f t="shared" si="1"/>
        <v>30051.833333333332</v>
      </c>
      <c r="L95" s="28">
        <f>Table2[[#This Row],[Weekly_Sales]]-Table2[[#This Row],[3_Week_Forecast]]</f>
        <v>-11001.173333333332</v>
      </c>
      <c r="M95" s="28">
        <f>ABS(Table2[[#This Row],[Forecast Error]]/Table2[[#This Row],[Weekly_Sales]])*100</f>
        <v>57.746940700917094</v>
      </c>
      <c r="N95" s="23" t="str">
        <f>Table2[[#This Row],[Store]] &amp; "_" &amp; TEXT(Table2[[#This Row],[Date]],"yyyy-mm-dd")</f>
        <v>1_2011-11-18</v>
      </c>
      <c r="O95" s="23">
        <f>VLOOKUP($N95,Features!A95:N237,4,FALSE)</f>
        <v>62.25</v>
      </c>
      <c r="P95" s="27">
        <f>VLOOKUP($N95,Features!A95:N237,11,FALSE)</f>
        <v>218.2205088</v>
      </c>
      <c r="Q95" s="23">
        <f>VLOOKUP($N95,Features!A95:N237,14,FALSE)</f>
        <v>12796.45</v>
      </c>
      <c r="R95" s="23" t="str">
        <f>IF(Table2[[#This Row],[3_Week_Forecast]]&lt;Table2[[#This Row],[Weekly_Sales]], "Underforecast", "Overforecast")</f>
        <v>Overforecast</v>
      </c>
    </row>
    <row r="96" spans="1:18">
      <c r="A96" s="17">
        <v>1</v>
      </c>
      <c r="B96" s="18">
        <v>1</v>
      </c>
      <c r="C96" s="19">
        <v>40872</v>
      </c>
      <c r="D96" s="20">
        <v>20911.25</v>
      </c>
      <c r="E96" s="21" t="b">
        <v>1</v>
      </c>
      <c r="F96" s="22">
        <f>YEAR(Table2[[#This Row],[Date]])</f>
        <v>2011</v>
      </c>
      <c r="G96" s="22" t="str">
        <f>TEXT(Table2[[#This Row],[Date]],"mmm")</f>
        <v>Nov</v>
      </c>
      <c r="H96" s="22" t="str">
        <f>TEXT(Table2[[#This Row],[Date]],"yyyy-mm")</f>
        <v>2011-11</v>
      </c>
      <c r="I96" s="22">
        <f>WEEKNUM(Table2[[#This Row],[Date]])</f>
        <v>48</v>
      </c>
      <c r="J96" s="23">
        <f>Table2[[#This Row],[Weekly_Sales]]*2</f>
        <v>41822.5</v>
      </c>
      <c r="K96" s="28">
        <f t="shared" si="1"/>
        <v>25875.42</v>
      </c>
      <c r="L96" s="28">
        <f>Table2[[#This Row],[Weekly_Sales]]-Table2[[#This Row],[3_Week_Forecast]]</f>
        <v>-4964.1699999999983</v>
      </c>
      <c r="M96" s="28">
        <f>ABS(Table2[[#This Row],[Forecast Error]]/Table2[[#This Row],[Weekly_Sales]])*100</f>
        <v>23.739231275031376</v>
      </c>
      <c r="N96" s="23" t="str">
        <f>Table2[[#This Row],[Store]] &amp; "_" &amp; TEXT(Table2[[#This Row],[Date]],"yyyy-mm-dd")</f>
        <v>1_2011-11-25</v>
      </c>
      <c r="O96" s="23">
        <f>VLOOKUP($N96,Features!A96:N238,4,FALSE)</f>
        <v>60.14</v>
      </c>
      <c r="P96" s="27">
        <f>VLOOKUP($N96,Features!A96:N238,11,FALSE)</f>
        <v>218.4676211</v>
      </c>
      <c r="Q96" s="23">
        <f>VLOOKUP($N96,Features!A96:N238,14,FALSE)</f>
        <v>56876.74</v>
      </c>
      <c r="R96" s="23" t="str">
        <f>IF(Table2[[#This Row],[3_Week_Forecast]]&lt;Table2[[#This Row],[Weekly_Sales]], "Underforecast", "Overforecast")</f>
        <v>Overforecast</v>
      </c>
    </row>
    <row r="97" spans="1:18">
      <c r="A97" s="17">
        <v>1</v>
      </c>
      <c r="B97" s="18">
        <v>1</v>
      </c>
      <c r="C97" s="19">
        <v>40879</v>
      </c>
      <c r="D97" s="20">
        <v>25293.49</v>
      </c>
      <c r="E97" s="21" t="b">
        <v>0</v>
      </c>
      <c r="F97" s="22">
        <f>YEAR(Table2[[#This Row],[Date]])</f>
        <v>2011</v>
      </c>
      <c r="G97" s="22" t="str">
        <f>TEXT(Table2[[#This Row],[Date]],"mmm")</f>
        <v>Dec</v>
      </c>
      <c r="H97" s="22" t="str">
        <f>TEXT(Table2[[#This Row],[Date]],"yyyy-mm")</f>
        <v>2011-12</v>
      </c>
      <c r="I97" s="22">
        <f>WEEKNUM(Table2[[#This Row],[Date]])</f>
        <v>49</v>
      </c>
      <c r="J97" s="23">
        <f>Table2[[#This Row],[Weekly_Sales]]*2</f>
        <v>50586.98</v>
      </c>
      <c r="K97" s="28">
        <f t="shared" si="1"/>
        <v>19550.483333333334</v>
      </c>
      <c r="L97" s="28">
        <f>Table2[[#This Row],[Weekly_Sales]]-Table2[[#This Row],[3_Week_Forecast]]</f>
        <v>5743.006666666668</v>
      </c>
      <c r="M97" s="28">
        <f>ABS(Table2[[#This Row],[Forecast Error]]/Table2[[#This Row],[Weekly_Sales]])*100</f>
        <v>22.705473490082497</v>
      </c>
      <c r="N97" s="23" t="str">
        <f>Table2[[#This Row],[Store]] &amp; "_" &amp; TEXT(Table2[[#This Row],[Date]],"yyyy-mm-dd")</f>
        <v>1_2011-12-02</v>
      </c>
      <c r="O97" s="23">
        <f>VLOOKUP($N97,Features!A97:N239,4,FALSE)</f>
        <v>48.91</v>
      </c>
      <c r="P97" s="27">
        <f>VLOOKUP($N97,Features!A97:N239,11,FALSE)</f>
        <v>218.71473330000001</v>
      </c>
      <c r="Q97" s="23">
        <f>VLOOKUP($N97,Features!A97:N239,14,FALSE)</f>
        <v>29655.58</v>
      </c>
      <c r="R97" s="23" t="str">
        <f>IF(Table2[[#This Row],[3_Week_Forecast]]&lt;Table2[[#This Row],[Weekly_Sales]], "Underforecast", "Overforecast")</f>
        <v>Underforecast</v>
      </c>
    </row>
    <row r="98" spans="1:18">
      <c r="A98" s="17">
        <v>1</v>
      </c>
      <c r="B98" s="18">
        <v>1</v>
      </c>
      <c r="C98" s="19">
        <v>40886</v>
      </c>
      <c r="D98" s="20">
        <v>33305.919999999998</v>
      </c>
      <c r="E98" s="21" t="b">
        <v>0</v>
      </c>
      <c r="F98" s="22">
        <f>YEAR(Table2[[#This Row],[Date]])</f>
        <v>2011</v>
      </c>
      <c r="G98" s="22" t="str">
        <f>TEXT(Table2[[#This Row],[Date]],"mmm")</f>
        <v>Dec</v>
      </c>
      <c r="H98" s="22" t="str">
        <f>TEXT(Table2[[#This Row],[Date]],"yyyy-mm")</f>
        <v>2011-12</v>
      </c>
      <c r="I98" s="22">
        <f>WEEKNUM(Table2[[#This Row],[Date]])</f>
        <v>50</v>
      </c>
      <c r="J98" s="23">
        <f>Table2[[#This Row],[Weekly_Sales]]*2</f>
        <v>66611.839999999997</v>
      </c>
      <c r="K98" s="28">
        <f t="shared" si="1"/>
        <v>21751.800000000003</v>
      </c>
      <c r="L98" s="28">
        <f>Table2[[#This Row],[Weekly_Sales]]-Table2[[#This Row],[3_Week_Forecast]]</f>
        <v>11554.119999999995</v>
      </c>
      <c r="M98" s="28">
        <f>ABS(Table2[[#This Row],[Forecast Error]]/Table2[[#This Row],[Weekly_Sales]])*100</f>
        <v>34.690889787761442</v>
      </c>
      <c r="N98" s="23" t="str">
        <f>Table2[[#This Row],[Store]] &amp; "_" &amp; TEXT(Table2[[#This Row],[Date]],"yyyy-mm-dd")</f>
        <v>1_2011-12-09</v>
      </c>
      <c r="O98" s="23">
        <f>VLOOKUP($N98,Features!A98:N240,4,FALSE)</f>
        <v>43.93</v>
      </c>
      <c r="P98" s="27">
        <f>VLOOKUP($N98,Features!A98:N240,11,FALSE)</f>
        <v>218.9618456</v>
      </c>
      <c r="Q98" s="23">
        <f>VLOOKUP($N98,Features!A98:N240,14,FALSE)</f>
        <v>22865.91</v>
      </c>
      <c r="R98" s="23" t="str">
        <f>IF(Table2[[#This Row],[3_Week_Forecast]]&lt;Table2[[#This Row],[Weekly_Sales]], "Underforecast", "Overforecast")</f>
        <v>Underforecast</v>
      </c>
    </row>
    <row r="99" spans="1:18">
      <c r="A99" s="17">
        <v>1</v>
      </c>
      <c r="B99" s="18">
        <v>1</v>
      </c>
      <c r="C99" s="19">
        <v>40893</v>
      </c>
      <c r="D99" s="20">
        <v>45773.03</v>
      </c>
      <c r="E99" s="21" t="b">
        <v>0</v>
      </c>
      <c r="F99" s="22">
        <f>YEAR(Table2[[#This Row],[Date]])</f>
        <v>2011</v>
      </c>
      <c r="G99" s="22" t="str">
        <f>TEXT(Table2[[#This Row],[Date]],"mmm")</f>
        <v>Dec</v>
      </c>
      <c r="H99" s="22" t="str">
        <f>TEXT(Table2[[#This Row],[Date]],"yyyy-mm")</f>
        <v>2011-12</v>
      </c>
      <c r="I99" s="22">
        <f>WEEKNUM(Table2[[#This Row],[Date]])</f>
        <v>51</v>
      </c>
      <c r="J99" s="23">
        <f>Table2[[#This Row],[Weekly_Sales]]*2</f>
        <v>91546.06</v>
      </c>
      <c r="K99" s="28">
        <f t="shared" si="1"/>
        <v>26503.553333333333</v>
      </c>
      <c r="L99" s="28">
        <f>Table2[[#This Row],[Weekly_Sales]]-Table2[[#This Row],[3_Week_Forecast]]</f>
        <v>19269.476666666666</v>
      </c>
      <c r="M99" s="28">
        <f>ABS(Table2[[#This Row],[Forecast Error]]/Table2[[#This Row],[Weekly_Sales]])*100</f>
        <v>42.097883112974309</v>
      </c>
      <c r="N99" s="23" t="str">
        <f>Table2[[#This Row],[Store]] &amp; "_" &amp; TEXT(Table2[[#This Row],[Date]],"yyyy-mm-dd")</f>
        <v>1_2011-12-16</v>
      </c>
      <c r="O99" s="23">
        <f>VLOOKUP($N99,Features!A99:N241,4,FALSE)</f>
        <v>51.63</v>
      </c>
      <c r="P99" s="27">
        <f>VLOOKUP($N99,Features!A99:N241,11,FALSE)</f>
        <v>219.17945330000001</v>
      </c>
      <c r="Q99" s="23">
        <f>VLOOKUP($N99,Features!A99:N241,14,FALSE)</f>
        <v>9662.85</v>
      </c>
      <c r="R99" s="23" t="str">
        <f>IF(Table2[[#This Row],[3_Week_Forecast]]&lt;Table2[[#This Row],[Weekly_Sales]], "Underforecast", "Overforecast")</f>
        <v>Underforecast</v>
      </c>
    </row>
    <row r="100" spans="1:18">
      <c r="A100" s="17">
        <v>1</v>
      </c>
      <c r="B100" s="18">
        <v>1</v>
      </c>
      <c r="C100" s="19">
        <v>40900</v>
      </c>
      <c r="D100" s="20">
        <v>46788.75</v>
      </c>
      <c r="E100" s="21" t="b">
        <v>0</v>
      </c>
      <c r="F100" s="22">
        <f>YEAR(Table2[[#This Row],[Date]])</f>
        <v>2011</v>
      </c>
      <c r="G100" s="22" t="str">
        <f>TEXT(Table2[[#This Row],[Date]],"mmm")</f>
        <v>Dec</v>
      </c>
      <c r="H100" s="22" t="str">
        <f>TEXT(Table2[[#This Row],[Date]],"yyyy-mm")</f>
        <v>2011-12</v>
      </c>
      <c r="I100" s="22">
        <f>WEEKNUM(Table2[[#This Row],[Date]])</f>
        <v>52</v>
      </c>
      <c r="J100" s="23">
        <f>Table2[[#This Row],[Weekly_Sales]]*2</f>
        <v>93577.5</v>
      </c>
      <c r="K100" s="28">
        <f t="shared" si="1"/>
        <v>34790.813333333332</v>
      </c>
      <c r="L100" s="28">
        <f>Table2[[#This Row],[Weekly_Sales]]-Table2[[#This Row],[3_Week_Forecast]]</f>
        <v>11997.936666666668</v>
      </c>
      <c r="M100" s="28">
        <f>ABS(Table2[[#This Row],[Forecast Error]]/Table2[[#This Row],[Weekly_Sales]])*100</f>
        <v>25.64278093915026</v>
      </c>
      <c r="N100" s="23" t="str">
        <f>Table2[[#This Row],[Store]] &amp; "_" &amp; TEXT(Table2[[#This Row],[Date]],"yyyy-mm-dd")</f>
        <v>1_2011-12-23</v>
      </c>
      <c r="O100" s="23">
        <f>VLOOKUP($N100,Features!A100:N242,4,FALSE)</f>
        <v>47.96</v>
      </c>
      <c r="P100" s="27">
        <f>VLOOKUP($N100,Features!A100:N242,11,FALSE)</f>
        <v>219.35772159999999</v>
      </c>
      <c r="Q100" s="23">
        <f>VLOOKUP($N100,Features!A100:N242,14,FALSE)</f>
        <v>6164.87</v>
      </c>
      <c r="R100" s="23" t="str">
        <f>IF(Table2[[#This Row],[3_Week_Forecast]]&lt;Table2[[#This Row],[Weekly_Sales]], "Underforecast", "Overforecast")</f>
        <v>Underforecast</v>
      </c>
    </row>
    <row r="101" spans="1:18">
      <c r="A101" s="17">
        <v>1</v>
      </c>
      <c r="B101" s="18">
        <v>1</v>
      </c>
      <c r="C101" s="19">
        <v>40907</v>
      </c>
      <c r="D101" s="20">
        <v>23350.880000000001</v>
      </c>
      <c r="E101" s="21" t="b">
        <v>1</v>
      </c>
      <c r="F101" s="22">
        <f>YEAR(Table2[[#This Row],[Date]])</f>
        <v>2011</v>
      </c>
      <c r="G101" s="22" t="str">
        <f>TEXT(Table2[[#This Row],[Date]],"mmm")</f>
        <v>Dec</v>
      </c>
      <c r="H101" s="22" t="str">
        <f>TEXT(Table2[[#This Row],[Date]],"yyyy-mm")</f>
        <v>2011-12</v>
      </c>
      <c r="I101" s="22">
        <f>WEEKNUM(Table2[[#This Row],[Date]])</f>
        <v>53</v>
      </c>
      <c r="J101" s="23">
        <f>Table2[[#This Row],[Weekly_Sales]]*2</f>
        <v>46701.760000000002</v>
      </c>
      <c r="K101" s="28">
        <f t="shared" si="1"/>
        <v>41955.9</v>
      </c>
      <c r="L101" s="28">
        <f>Table2[[#This Row],[Weekly_Sales]]-Table2[[#This Row],[3_Week_Forecast]]</f>
        <v>-18605.02</v>
      </c>
      <c r="M101" s="28">
        <f>ABS(Table2[[#This Row],[Forecast Error]]/Table2[[#This Row],[Weekly_Sales]])*100</f>
        <v>79.675883735430958</v>
      </c>
      <c r="N101" s="23" t="str">
        <f>Table2[[#This Row],[Store]] &amp; "_" &amp; TEXT(Table2[[#This Row],[Date]],"yyyy-mm-dd")</f>
        <v>1_2011-12-30</v>
      </c>
      <c r="O101" s="23">
        <f>VLOOKUP($N101,Features!A101:N243,4,FALSE)</f>
        <v>44.55</v>
      </c>
      <c r="P101" s="27">
        <f>VLOOKUP($N101,Features!A101:N243,11,FALSE)</f>
        <v>219.53598980000001</v>
      </c>
      <c r="Q101" s="23">
        <f>VLOOKUP($N101,Features!A101:N243,14,FALSE)</f>
        <v>57753.27</v>
      </c>
      <c r="R101" s="23" t="str">
        <f>IF(Table2[[#This Row],[3_Week_Forecast]]&lt;Table2[[#This Row],[Weekly_Sales]], "Underforecast", "Overforecast")</f>
        <v>Overforecast</v>
      </c>
    </row>
    <row r="102" spans="1:18">
      <c r="A102" s="17">
        <v>1</v>
      </c>
      <c r="B102" s="18">
        <v>1</v>
      </c>
      <c r="C102" s="19">
        <v>40914</v>
      </c>
      <c r="D102" s="20">
        <v>16567.689999999999</v>
      </c>
      <c r="E102" s="21" t="b">
        <v>0</v>
      </c>
      <c r="F102" s="22">
        <f>YEAR(Table2[[#This Row],[Date]])</f>
        <v>2012</v>
      </c>
      <c r="G102" s="22" t="str">
        <f>TEXT(Table2[[#This Row],[Date]],"mmm")</f>
        <v>Jan</v>
      </c>
      <c r="H102" s="22" t="str">
        <f>TEXT(Table2[[#This Row],[Date]],"yyyy-mm")</f>
        <v>2012-01</v>
      </c>
      <c r="I102" s="22">
        <f>WEEKNUM(Table2[[#This Row],[Date]])</f>
        <v>1</v>
      </c>
      <c r="J102" s="23">
        <f>Table2[[#This Row],[Weekly_Sales]]*2</f>
        <v>33135.379999999997</v>
      </c>
      <c r="K102" s="28">
        <f t="shared" si="1"/>
        <v>38637.553333333337</v>
      </c>
      <c r="L102" s="28">
        <f>Table2[[#This Row],[Weekly_Sales]]-Table2[[#This Row],[3_Week_Forecast]]</f>
        <v>-22069.863333333338</v>
      </c>
      <c r="M102" s="28">
        <f>ABS(Table2[[#This Row],[Forecast Error]]/Table2[[#This Row],[Weekly_Sales]])*100</f>
        <v>133.21026246467272</v>
      </c>
      <c r="N102" s="23" t="str">
        <f>Table2[[#This Row],[Store]] &amp; "_" &amp; TEXT(Table2[[#This Row],[Date]],"yyyy-mm-dd")</f>
        <v>1_2012-01-06</v>
      </c>
      <c r="O102" s="23">
        <f>VLOOKUP($N102,Features!A102:N244,4,FALSE)</f>
        <v>49.01</v>
      </c>
      <c r="P102" s="27">
        <f>VLOOKUP($N102,Features!A102:N244,11,FALSE)</f>
        <v>219.7142581</v>
      </c>
      <c r="Q102" s="23">
        <f>VLOOKUP($N102,Features!A102:N244,14,FALSE)</f>
        <v>38166.78</v>
      </c>
      <c r="R102" s="23" t="str">
        <f>IF(Table2[[#This Row],[3_Week_Forecast]]&lt;Table2[[#This Row],[Weekly_Sales]], "Underforecast", "Overforecast")</f>
        <v>Overforecast</v>
      </c>
    </row>
    <row r="103" spans="1:18">
      <c r="A103" s="17">
        <v>1</v>
      </c>
      <c r="B103" s="18">
        <v>1</v>
      </c>
      <c r="C103" s="19">
        <v>40921</v>
      </c>
      <c r="D103" s="20">
        <v>16894.400000000001</v>
      </c>
      <c r="E103" s="21" t="b">
        <v>0</v>
      </c>
      <c r="F103" s="22">
        <f>YEAR(Table2[[#This Row],[Date]])</f>
        <v>2012</v>
      </c>
      <c r="G103" s="22" t="str">
        <f>TEXT(Table2[[#This Row],[Date]],"mmm")</f>
        <v>Jan</v>
      </c>
      <c r="H103" s="22" t="str">
        <f>TEXT(Table2[[#This Row],[Date]],"yyyy-mm")</f>
        <v>2012-01</v>
      </c>
      <c r="I103" s="22">
        <f>WEEKNUM(Table2[[#This Row],[Date]])</f>
        <v>2</v>
      </c>
      <c r="J103" s="23">
        <f>Table2[[#This Row],[Weekly_Sales]]*2</f>
        <v>33788.800000000003</v>
      </c>
      <c r="K103" s="28">
        <f t="shared" si="1"/>
        <v>28902.440000000002</v>
      </c>
      <c r="L103" s="28">
        <f>Table2[[#This Row],[Weekly_Sales]]-Table2[[#This Row],[3_Week_Forecast]]</f>
        <v>-12008.04</v>
      </c>
      <c r="M103" s="28">
        <f>ABS(Table2[[#This Row],[Forecast Error]]/Table2[[#This Row],[Weekly_Sales]])*100</f>
        <v>71.077043280613694</v>
      </c>
      <c r="N103" s="23" t="str">
        <f>Table2[[#This Row],[Store]] &amp; "_" &amp; TEXT(Table2[[#This Row],[Date]],"yyyy-mm-dd")</f>
        <v>1_2012-01-13</v>
      </c>
      <c r="O103" s="23">
        <f>VLOOKUP($N103,Features!A103:N245,4,FALSE)</f>
        <v>48.53</v>
      </c>
      <c r="P103" s="27">
        <f>VLOOKUP($N103,Features!A103:N245,11,FALSE)</f>
        <v>219.89252629999999</v>
      </c>
      <c r="Q103" s="23">
        <f>VLOOKUP($N103,Features!A103:N245,14,FALSE)</f>
        <v>17423.86</v>
      </c>
      <c r="R103" s="23" t="str">
        <f>IF(Table2[[#This Row],[3_Week_Forecast]]&lt;Table2[[#This Row],[Weekly_Sales]], "Underforecast", "Overforecast")</f>
        <v>Overforecast</v>
      </c>
    </row>
    <row r="104" spans="1:18">
      <c r="A104" s="17">
        <v>1</v>
      </c>
      <c r="B104" s="18">
        <v>1</v>
      </c>
      <c r="C104" s="19">
        <v>40928</v>
      </c>
      <c r="D104" s="20">
        <v>18365.099999999999</v>
      </c>
      <c r="E104" s="21" t="b">
        <v>0</v>
      </c>
      <c r="F104" s="22">
        <f>YEAR(Table2[[#This Row],[Date]])</f>
        <v>2012</v>
      </c>
      <c r="G104" s="22" t="str">
        <f>TEXT(Table2[[#This Row],[Date]],"mmm")</f>
        <v>Jan</v>
      </c>
      <c r="H104" s="22" t="str">
        <f>TEXT(Table2[[#This Row],[Date]],"yyyy-mm")</f>
        <v>2012-01</v>
      </c>
      <c r="I104" s="22">
        <f>WEEKNUM(Table2[[#This Row],[Date]])</f>
        <v>3</v>
      </c>
      <c r="J104" s="23">
        <f>Table2[[#This Row],[Weekly_Sales]]*2</f>
        <v>36730.199999999997</v>
      </c>
      <c r="K104" s="28">
        <f t="shared" si="1"/>
        <v>18937.656666666666</v>
      </c>
      <c r="L104" s="28">
        <f>Table2[[#This Row],[Weekly_Sales]]-Table2[[#This Row],[3_Week_Forecast]]</f>
        <v>-572.5566666666673</v>
      </c>
      <c r="M104" s="28">
        <f>ABS(Table2[[#This Row],[Forecast Error]]/Table2[[#This Row],[Weekly_Sales]])*100</f>
        <v>3.1176343535655531</v>
      </c>
      <c r="N104" s="23" t="str">
        <f>Table2[[#This Row],[Store]] &amp; "_" &amp; TEXT(Table2[[#This Row],[Date]],"yyyy-mm-dd")</f>
        <v>1_2012-01-20</v>
      </c>
      <c r="O104" s="23">
        <f>VLOOKUP($N104,Features!A104:N246,4,FALSE)</f>
        <v>54.11</v>
      </c>
      <c r="P104" s="27">
        <f>VLOOKUP($N104,Features!A104:N246,11,FALSE)</f>
        <v>219.98568929999999</v>
      </c>
      <c r="Q104" s="23">
        <f>VLOOKUP($N104,Features!A104:N246,14,FALSE)</f>
        <v>10881.77</v>
      </c>
      <c r="R104" s="23" t="str">
        <f>IF(Table2[[#This Row],[3_Week_Forecast]]&lt;Table2[[#This Row],[Weekly_Sales]], "Underforecast", "Overforecast")</f>
        <v>Overforecast</v>
      </c>
    </row>
    <row r="105" spans="1:18">
      <c r="A105" s="17">
        <v>1</v>
      </c>
      <c r="B105" s="18">
        <v>1</v>
      </c>
      <c r="C105" s="19">
        <v>40935</v>
      </c>
      <c r="D105" s="20">
        <v>18378.16</v>
      </c>
      <c r="E105" s="21" t="b">
        <v>0</v>
      </c>
      <c r="F105" s="22">
        <f>YEAR(Table2[[#This Row],[Date]])</f>
        <v>2012</v>
      </c>
      <c r="G105" s="22" t="str">
        <f>TEXT(Table2[[#This Row],[Date]],"mmm")</f>
        <v>Jan</v>
      </c>
      <c r="H105" s="22" t="str">
        <f>TEXT(Table2[[#This Row],[Date]],"yyyy-mm")</f>
        <v>2012-01</v>
      </c>
      <c r="I105" s="22">
        <f>WEEKNUM(Table2[[#This Row],[Date]])</f>
        <v>4</v>
      </c>
      <c r="J105" s="23">
        <f>Table2[[#This Row],[Weekly_Sales]]*2</f>
        <v>36756.32</v>
      </c>
      <c r="K105" s="28">
        <f t="shared" si="1"/>
        <v>17275.73</v>
      </c>
      <c r="L105" s="28">
        <f>Table2[[#This Row],[Weekly_Sales]]-Table2[[#This Row],[3_Week_Forecast]]</f>
        <v>1102.4300000000003</v>
      </c>
      <c r="M105" s="28">
        <f>ABS(Table2[[#This Row],[Forecast Error]]/Table2[[#This Row],[Weekly_Sales]])*100</f>
        <v>5.9985874538038644</v>
      </c>
      <c r="N105" s="23" t="str">
        <f>Table2[[#This Row],[Store]] &amp; "_" &amp; TEXT(Table2[[#This Row],[Date]],"yyyy-mm-dd")</f>
        <v>1_2012-01-27</v>
      </c>
      <c r="O105" s="23">
        <f>VLOOKUP($N105,Features!A105:N247,4,FALSE)</f>
        <v>54.26</v>
      </c>
      <c r="P105" s="27">
        <f>VLOOKUP($N105,Features!A105:N247,11,FALSE)</f>
        <v>220.07885229999999</v>
      </c>
      <c r="Q105" s="23">
        <f>VLOOKUP($N105,Features!A105:N247,14,FALSE)</f>
        <v>3524.39</v>
      </c>
      <c r="R105" s="23" t="str">
        <f>IF(Table2[[#This Row],[3_Week_Forecast]]&lt;Table2[[#This Row],[Weekly_Sales]], "Underforecast", "Overforecast")</f>
        <v>Underforecast</v>
      </c>
    </row>
    <row r="106" spans="1:18">
      <c r="A106" s="17">
        <v>1</v>
      </c>
      <c r="B106" s="18">
        <v>1</v>
      </c>
      <c r="C106" s="19">
        <v>40942</v>
      </c>
      <c r="D106" s="20">
        <v>23510.49</v>
      </c>
      <c r="E106" s="21" t="b">
        <v>0</v>
      </c>
      <c r="F106" s="22">
        <f>YEAR(Table2[[#This Row],[Date]])</f>
        <v>2012</v>
      </c>
      <c r="G106" s="22" t="str">
        <f>TEXT(Table2[[#This Row],[Date]],"mmm")</f>
        <v>Feb</v>
      </c>
      <c r="H106" s="22" t="str">
        <f>TEXT(Table2[[#This Row],[Date]],"yyyy-mm")</f>
        <v>2012-02</v>
      </c>
      <c r="I106" s="22">
        <f>WEEKNUM(Table2[[#This Row],[Date]])</f>
        <v>5</v>
      </c>
      <c r="J106" s="23">
        <f>Table2[[#This Row],[Weekly_Sales]]*2</f>
        <v>47020.98</v>
      </c>
      <c r="K106" s="28">
        <f t="shared" si="1"/>
        <v>17879.22</v>
      </c>
      <c r="L106" s="28">
        <f>Table2[[#This Row],[Weekly_Sales]]-Table2[[#This Row],[3_Week_Forecast]]</f>
        <v>5631.27</v>
      </c>
      <c r="M106" s="28">
        <f>ABS(Table2[[#This Row],[Forecast Error]]/Table2[[#This Row],[Weekly_Sales]])*100</f>
        <v>23.952159227646895</v>
      </c>
      <c r="N106" s="23" t="str">
        <f>Table2[[#This Row],[Store]] &amp; "_" &amp; TEXT(Table2[[#This Row],[Date]],"yyyy-mm-dd")</f>
        <v>1_2012-02-03</v>
      </c>
      <c r="O106" s="23">
        <f>VLOOKUP($N106,Features!A106:N248,4,FALSE)</f>
        <v>56.55</v>
      </c>
      <c r="P106" s="27">
        <f>VLOOKUP($N106,Features!A106:N248,11,FALSE)</f>
        <v>220.1720153</v>
      </c>
      <c r="Q106" s="23">
        <f>VLOOKUP($N106,Features!A106:N248,14,FALSE)</f>
        <v>76351.070000000007</v>
      </c>
      <c r="R106" s="23" t="str">
        <f>IF(Table2[[#This Row],[3_Week_Forecast]]&lt;Table2[[#This Row],[Weekly_Sales]], "Underforecast", "Overforecast")</f>
        <v>Underforecast</v>
      </c>
    </row>
    <row r="107" spans="1:18">
      <c r="A107" s="17">
        <v>1</v>
      </c>
      <c r="B107" s="18">
        <v>1</v>
      </c>
      <c r="C107" s="19">
        <v>40949</v>
      </c>
      <c r="D107" s="20">
        <v>36988.49</v>
      </c>
      <c r="E107" s="21" t="b">
        <v>1</v>
      </c>
      <c r="F107" s="22">
        <f>YEAR(Table2[[#This Row],[Date]])</f>
        <v>2012</v>
      </c>
      <c r="G107" s="22" t="str">
        <f>TEXT(Table2[[#This Row],[Date]],"mmm")</f>
        <v>Feb</v>
      </c>
      <c r="H107" s="22" t="str">
        <f>TEXT(Table2[[#This Row],[Date]],"yyyy-mm")</f>
        <v>2012-02</v>
      </c>
      <c r="I107" s="22">
        <f>WEEKNUM(Table2[[#This Row],[Date]])</f>
        <v>6</v>
      </c>
      <c r="J107" s="23">
        <f>Table2[[#This Row],[Weekly_Sales]]*2</f>
        <v>73976.98</v>
      </c>
      <c r="K107" s="28">
        <f t="shared" si="1"/>
        <v>20084.583333333332</v>
      </c>
      <c r="L107" s="28">
        <f>Table2[[#This Row],[Weekly_Sales]]-Table2[[#This Row],[3_Week_Forecast]]</f>
        <v>16903.906666666666</v>
      </c>
      <c r="M107" s="28">
        <f>ABS(Table2[[#This Row],[Forecast Error]]/Table2[[#This Row],[Weekly_Sales]])*100</f>
        <v>45.700450779868731</v>
      </c>
      <c r="N107" s="23" t="str">
        <f>Table2[[#This Row],[Store]] &amp; "_" &amp; TEXT(Table2[[#This Row],[Date]],"yyyy-mm-dd")</f>
        <v>1_2012-02-10</v>
      </c>
      <c r="O107" s="23">
        <f>VLOOKUP($N107,Features!A107:N249,4,FALSE)</f>
        <v>48.02</v>
      </c>
      <c r="P107" s="27">
        <f>VLOOKUP($N107,Features!A107:N249,11,FALSE)</f>
        <v>220.2651783</v>
      </c>
      <c r="Q107" s="23">
        <f>VLOOKUP($N107,Features!A107:N249,14,FALSE)</f>
        <v>36311.85</v>
      </c>
      <c r="R107" s="23" t="str">
        <f>IF(Table2[[#This Row],[3_Week_Forecast]]&lt;Table2[[#This Row],[Weekly_Sales]], "Underforecast", "Overforecast")</f>
        <v>Underforecast</v>
      </c>
    </row>
    <row r="108" spans="1:18">
      <c r="A108" s="17">
        <v>1</v>
      </c>
      <c r="B108" s="18">
        <v>1</v>
      </c>
      <c r="C108" s="19">
        <v>40956</v>
      </c>
      <c r="D108" s="20">
        <v>54060.1</v>
      </c>
      <c r="E108" s="21" t="b">
        <v>0</v>
      </c>
      <c r="F108" s="22">
        <f>YEAR(Table2[[#This Row],[Date]])</f>
        <v>2012</v>
      </c>
      <c r="G108" s="22" t="str">
        <f>TEXT(Table2[[#This Row],[Date]],"mmm")</f>
        <v>Feb</v>
      </c>
      <c r="H108" s="22" t="str">
        <f>TEXT(Table2[[#This Row],[Date]],"yyyy-mm")</f>
        <v>2012-02</v>
      </c>
      <c r="I108" s="22">
        <f>WEEKNUM(Table2[[#This Row],[Date]])</f>
        <v>7</v>
      </c>
      <c r="J108" s="23">
        <f>Table2[[#This Row],[Weekly_Sales]]*2</f>
        <v>108120.2</v>
      </c>
      <c r="K108" s="28">
        <f t="shared" si="1"/>
        <v>26292.38</v>
      </c>
      <c r="L108" s="28">
        <f>Table2[[#This Row],[Weekly_Sales]]-Table2[[#This Row],[3_Week_Forecast]]</f>
        <v>27767.719999999998</v>
      </c>
      <c r="M108" s="28">
        <f>ABS(Table2[[#This Row],[Forecast Error]]/Table2[[#This Row],[Weekly_Sales]])*100</f>
        <v>51.36453687655036</v>
      </c>
      <c r="N108" s="23" t="str">
        <f>Table2[[#This Row],[Store]] &amp; "_" &amp; TEXT(Table2[[#This Row],[Date]],"yyyy-mm-dd")</f>
        <v>1_2012-02-17</v>
      </c>
      <c r="O108" s="23">
        <f>VLOOKUP($N108,Features!A108:N250,4,FALSE)</f>
        <v>45.32</v>
      </c>
      <c r="P108" s="27">
        <f>VLOOKUP($N108,Features!A108:N250,11,FALSE)</f>
        <v>220.42575859999999</v>
      </c>
      <c r="Q108" s="23">
        <f>VLOOKUP($N108,Features!A108:N250,14,FALSE)</f>
        <v>32757.37</v>
      </c>
      <c r="R108" s="23" t="str">
        <f>IF(Table2[[#This Row],[3_Week_Forecast]]&lt;Table2[[#This Row],[Weekly_Sales]], "Underforecast", "Overforecast")</f>
        <v>Underforecast</v>
      </c>
    </row>
    <row r="109" spans="1:18">
      <c r="A109" s="17">
        <v>1</v>
      </c>
      <c r="B109" s="18">
        <v>1</v>
      </c>
      <c r="C109" s="19">
        <v>40963</v>
      </c>
      <c r="D109" s="20">
        <v>20124.22</v>
      </c>
      <c r="E109" s="21" t="b">
        <v>0</v>
      </c>
      <c r="F109" s="22">
        <f>YEAR(Table2[[#This Row],[Date]])</f>
        <v>2012</v>
      </c>
      <c r="G109" s="22" t="str">
        <f>TEXT(Table2[[#This Row],[Date]],"mmm")</f>
        <v>Feb</v>
      </c>
      <c r="H109" s="22" t="str">
        <f>TEXT(Table2[[#This Row],[Date]],"yyyy-mm")</f>
        <v>2012-02</v>
      </c>
      <c r="I109" s="22">
        <f>WEEKNUM(Table2[[#This Row],[Date]])</f>
        <v>8</v>
      </c>
      <c r="J109" s="23">
        <f>Table2[[#This Row],[Weekly_Sales]]*2</f>
        <v>40248.44</v>
      </c>
      <c r="K109" s="28">
        <f t="shared" si="1"/>
        <v>38186.359999999993</v>
      </c>
      <c r="L109" s="28">
        <f>Table2[[#This Row],[Weekly_Sales]]-Table2[[#This Row],[3_Week_Forecast]]</f>
        <v>-18062.139999999992</v>
      </c>
      <c r="M109" s="28">
        <f>ABS(Table2[[#This Row],[Forecast Error]]/Table2[[#This Row],[Weekly_Sales]])*100</f>
        <v>89.75324261014832</v>
      </c>
      <c r="N109" s="23" t="str">
        <f>Table2[[#This Row],[Store]] &amp; "_" &amp; TEXT(Table2[[#This Row],[Date]],"yyyy-mm-dd")</f>
        <v>1_2012-02-24</v>
      </c>
      <c r="O109" s="23">
        <f>VLOOKUP($N109,Features!A109:N251,4,FALSE)</f>
        <v>57.25</v>
      </c>
      <c r="P109" s="27">
        <f>VLOOKUP($N109,Features!A109:N251,11,FALSE)</f>
        <v>220.63690199999999</v>
      </c>
      <c r="Q109" s="23">
        <f>VLOOKUP($N109,Features!A109:N251,14,FALSE)</f>
        <v>26272.33</v>
      </c>
      <c r="R109" s="23" t="str">
        <f>IF(Table2[[#This Row],[3_Week_Forecast]]&lt;Table2[[#This Row],[Weekly_Sales]], "Underforecast", "Overforecast")</f>
        <v>Overforecast</v>
      </c>
    </row>
    <row r="110" spans="1:18">
      <c r="A110" s="17">
        <v>1</v>
      </c>
      <c r="B110" s="18">
        <v>1</v>
      </c>
      <c r="C110" s="19">
        <v>40970</v>
      </c>
      <c r="D110" s="20">
        <v>20113.03</v>
      </c>
      <c r="E110" s="21" t="b">
        <v>0</v>
      </c>
      <c r="F110" s="22">
        <f>YEAR(Table2[[#This Row],[Date]])</f>
        <v>2012</v>
      </c>
      <c r="G110" s="22" t="str">
        <f>TEXT(Table2[[#This Row],[Date]],"mmm")</f>
        <v>Mar</v>
      </c>
      <c r="H110" s="22" t="str">
        <f>TEXT(Table2[[#This Row],[Date]],"yyyy-mm")</f>
        <v>2012-03</v>
      </c>
      <c r="I110" s="22">
        <f>WEEKNUM(Table2[[#This Row],[Date]])</f>
        <v>9</v>
      </c>
      <c r="J110" s="24">
        <f>Table2[[#This Row],[Weekly_Sales]]*2</f>
        <v>40226.06</v>
      </c>
      <c r="K110" s="28">
        <f t="shared" si="1"/>
        <v>37057.603333333333</v>
      </c>
      <c r="L110" s="28">
        <f>Table2[[#This Row],[Weekly_Sales]]-Table2[[#This Row],[3_Week_Forecast]]</f>
        <v>-16944.573333333334</v>
      </c>
      <c r="M110" s="28">
        <f>ABS(Table2[[#This Row],[Forecast Error]]/Table2[[#This Row],[Weekly_Sales]])*100</f>
        <v>84.246746180626857</v>
      </c>
      <c r="N110" s="23" t="str">
        <f>Table2[[#This Row],[Store]] &amp; "_" &amp; TEXT(Table2[[#This Row],[Date]],"yyyy-mm-dd")</f>
        <v>1_2012-03-02</v>
      </c>
      <c r="O110" s="23">
        <f>VLOOKUP($N110,Features!A110:N252,4,FALSE)</f>
        <v>60.96</v>
      </c>
      <c r="P110" s="27">
        <f>VLOOKUP($N110,Features!A110:N252,11,FALSE)</f>
        <v>220.84804539999999</v>
      </c>
      <c r="Q110" s="23">
        <f>VLOOKUP($N110,Features!A110:N252,14,FALSE)</f>
        <v>50479.69</v>
      </c>
      <c r="R110" s="23" t="str">
        <f>IF(Table2[[#This Row],[3_Week_Forecast]]&lt;Table2[[#This Row],[Weekly_Sales]], "Underforecast", "Overforecast")</f>
        <v>Overforecast</v>
      </c>
    </row>
    <row r="111" spans="1:18">
      <c r="A111" s="17">
        <v>1</v>
      </c>
      <c r="B111" s="18">
        <v>1</v>
      </c>
      <c r="C111" s="19">
        <v>40977</v>
      </c>
      <c r="D111" s="20">
        <v>21140.07</v>
      </c>
      <c r="E111" s="21" t="b">
        <v>0</v>
      </c>
      <c r="F111" s="22">
        <f>YEAR(Table2[[#This Row],[Date]])</f>
        <v>2012</v>
      </c>
      <c r="G111" s="22" t="str">
        <f>TEXT(Table2[[#This Row],[Date]],"mmm")</f>
        <v>Mar</v>
      </c>
      <c r="H111" s="22" t="str">
        <f>TEXT(Table2[[#This Row],[Date]],"yyyy-mm")</f>
        <v>2012-03</v>
      </c>
      <c r="I111" s="22">
        <f>WEEKNUM(Table2[[#This Row],[Date]])</f>
        <v>10</v>
      </c>
      <c r="J111" s="23">
        <f>Table2[[#This Row],[Weekly_Sales]]*2</f>
        <v>42280.14</v>
      </c>
      <c r="K111" s="28">
        <f t="shared" si="1"/>
        <v>31432.45</v>
      </c>
      <c r="L111" s="28">
        <f>Table2[[#This Row],[Weekly_Sales]]-Table2[[#This Row],[3_Week_Forecast]]</f>
        <v>-10292.380000000001</v>
      </c>
      <c r="M111" s="28">
        <f>ABS(Table2[[#This Row],[Forecast Error]]/Table2[[#This Row],[Weekly_Sales]])*100</f>
        <v>48.686593753000821</v>
      </c>
      <c r="N111" s="23" t="str">
        <f>Table2[[#This Row],[Store]] &amp; "_" &amp; TEXT(Table2[[#This Row],[Date]],"yyyy-mm-dd")</f>
        <v>1_2012-03-09</v>
      </c>
      <c r="O111" s="23">
        <f>VLOOKUP($N111,Features!A111:N253,4,FALSE)</f>
        <v>58.76</v>
      </c>
      <c r="P111" s="27">
        <f>VLOOKUP($N111,Features!A111:N253,11,FALSE)</f>
        <v>221.05918869999999</v>
      </c>
      <c r="Q111" s="23">
        <f>VLOOKUP($N111,Features!A111:N253,14,FALSE)</f>
        <v>16670.189999999999</v>
      </c>
      <c r="R111" s="23" t="str">
        <f>IF(Table2[[#This Row],[3_Week_Forecast]]&lt;Table2[[#This Row],[Weekly_Sales]], "Underforecast", "Overforecast")</f>
        <v>Overforecast</v>
      </c>
    </row>
    <row r="112" spans="1:18">
      <c r="A112" s="17">
        <v>1</v>
      </c>
      <c r="B112" s="18">
        <v>1</v>
      </c>
      <c r="C112" s="19">
        <v>40984</v>
      </c>
      <c r="D112" s="20">
        <v>22366.880000000001</v>
      </c>
      <c r="E112" s="21" t="b">
        <v>0</v>
      </c>
      <c r="F112" s="22">
        <f>YEAR(Table2[[#This Row],[Date]])</f>
        <v>2012</v>
      </c>
      <c r="G112" s="22" t="str">
        <f>TEXT(Table2[[#This Row],[Date]],"mmm")</f>
        <v>Mar</v>
      </c>
      <c r="H112" s="22" t="str">
        <f>TEXT(Table2[[#This Row],[Date]],"yyyy-mm")</f>
        <v>2012-03</v>
      </c>
      <c r="I112" s="22">
        <f>WEEKNUM(Table2[[#This Row],[Date]])</f>
        <v>11</v>
      </c>
      <c r="J112" s="23">
        <f>Table2[[#This Row],[Weekly_Sales]]*2</f>
        <v>44733.760000000002</v>
      </c>
      <c r="K112" s="28">
        <f t="shared" si="1"/>
        <v>20459.106666666667</v>
      </c>
      <c r="L112" s="28">
        <f>Table2[[#This Row],[Weekly_Sales]]-Table2[[#This Row],[3_Week_Forecast]]</f>
        <v>1907.7733333333344</v>
      </c>
      <c r="M112" s="28">
        <f>ABS(Table2[[#This Row],[Forecast Error]]/Table2[[#This Row],[Weekly_Sales]])*100</f>
        <v>8.5294566489976891</v>
      </c>
      <c r="N112" s="23" t="str">
        <f>Table2[[#This Row],[Store]] &amp; "_" &amp; TEXT(Table2[[#This Row],[Date]],"yyyy-mm-dd")</f>
        <v>1_2012-03-16</v>
      </c>
      <c r="O112" s="23">
        <f>VLOOKUP($N112,Features!A112:N254,4,FALSE)</f>
        <v>64.739999999999995</v>
      </c>
      <c r="P112" s="27">
        <f>VLOOKUP($N112,Features!A112:N254,11,FALSE)</f>
        <v>221.21181319999999</v>
      </c>
      <c r="Q112" s="23">
        <f>VLOOKUP($N112,Features!A112:N254,14,FALSE)</f>
        <v>9050.02</v>
      </c>
      <c r="R112" s="23" t="str">
        <f>IF(Table2[[#This Row],[3_Week_Forecast]]&lt;Table2[[#This Row],[Weekly_Sales]], "Underforecast", "Overforecast")</f>
        <v>Underforecast</v>
      </c>
    </row>
    <row r="113" spans="1:18">
      <c r="A113" s="17">
        <v>1</v>
      </c>
      <c r="B113" s="18">
        <v>1</v>
      </c>
      <c r="C113" s="19">
        <v>40991</v>
      </c>
      <c r="D113" s="20">
        <v>22107.7</v>
      </c>
      <c r="E113" s="21" t="b">
        <v>0</v>
      </c>
      <c r="F113" s="22">
        <f>YEAR(Table2[[#This Row],[Date]])</f>
        <v>2012</v>
      </c>
      <c r="G113" s="22" t="str">
        <f>TEXT(Table2[[#This Row],[Date]],"mmm")</f>
        <v>Mar</v>
      </c>
      <c r="H113" s="22" t="str">
        <f>TEXT(Table2[[#This Row],[Date]],"yyyy-mm")</f>
        <v>2012-03</v>
      </c>
      <c r="I113" s="22">
        <f>WEEKNUM(Table2[[#This Row],[Date]])</f>
        <v>12</v>
      </c>
      <c r="J113" s="23">
        <f>Table2[[#This Row],[Weekly_Sales]]*2</f>
        <v>44215.4</v>
      </c>
      <c r="K113" s="28">
        <f t="shared" si="1"/>
        <v>21206.66</v>
      </c>
      <c r="L113" s="28">
        <f>Table2[[#This Row],[Weekly_Sales]]-Table2[[#This Row],[3_Week_Forecast]]</f>
        <v>901.04000000000087</v>
      </c>
      <c r="M113" s="28">
        <f>ABS(Table2[[#This Row],[Forecast Error]]/Table2[[#This Row],[Weekly_Sales]])*100</f>
        <v>4.0756840376882302</v>
      </c>
      <c r="N113" s="23" t="str">
        <f>Table2[[#This Row],[Store]] &amp; "_" &amp; TEXT(Table2[[#This Row],[Date]],"yyyy-mm-dd")</f>
        <v>1_2012-03-23</v>
      </c>
      <c r="O113" s="23">
        <f>VLOOKUP($N113,Features!A113:N255,4,FALSE)</f>
        <v>65.930000000000007</v>
      </c>
      <c r="P113" s="27">
        <f>VLOOKUP($N113,Features!A113:N255,11,FALSE)</f>
        <v>221.28641260000001</v>
      </c>
      <c r="Q113" s="23">
        <f>VLOOKUP($N113,Features!A113:N255,14,FALSE)</f>
        <v>10216.950000000001</v>
      </c>
      <c r="R113" s="23" t="str">
        <f>IF(Table2[[#This Row],[3_Week_Forecast]]&lt;Table2[[#This Row],[Weekly_Sales]], "Underforecast", "Overforecast")</f>
        <v>Underforecast</v>
      </c>
    </row>
    <row r="114" spans="1:18">
      <c r="A114" s="17">
        <v>1</v>
      </c>
      <c r="B114" s="18">
        <v>1</v>
      </c>
      <c r="C114" s="19">
        <v>40998</v>
      </c>
      <c r="D114" s="20">
        <v>28952.86</v>
      </c>
      <c r="E114" s="21" t="b">
        <v>0</v>
      </c>
      <c r="F114" s="22">
        <f>YEAR(Table2[[#This Row],[Date]])</f>
        <v>2012</v>
      </c>
      <c r="G114" s="22" t="str">
        <f>TEXT(Table2[[#This Row],[Date]],"mmm")</f>
        <v>Mar</v>
      </c>
      <c r="H114" s="22" t="str">
        <f>TEXT(Table2[[#This Row],[Date]],"yyyy-mm")</f>
        <v>2012-03</v>
      </c>
      <c r="I114" s="22">
        <f>WEEKNUM(Table2[[#This Row],[Date]])</f>
        <v>13</v>
      </c>
      <c r="J114" s="23">
        <f>Table2[[#This Row],[Weekly_Sales]]*2</f>
        <v>57905.72</v>
      </c>
      <c r="K114" s="28">
        <f t="shared" si="1"/>
        <v>21871.55</v>
      </c>
      <c r="L114" s="28">
        <f>Table2[[#This Row],[Weekly_Sales]]-Table2[[#This Row],[3_Week_Forecast]]</f>
        <v>7081.3100000000013</v>
      </c>
      <c r="M114" s="28">
        <f>ABS(Table2[[#This Row],[Forecast Error]]/Table2[[#This Row],[Weekly_Sales]])*100</f>
        <v>24.458067355003966</v>
      </c>
      <c r="N114" s="23" t="str">
        <f>Table2[[#This Row],[Store]] &amp; "_" &amp; TEXT(Table2[[#This Row],[Date]],"yyyy-mm-dd")</f>
        <v>1_2012-03-30</v>
      </c>
      <c r="O114" s="23">
        <f>VLOOKUP($N114,Features!A114:N256,4,FALSE)</f>
        <v>67.61</v>
      </c>
      <c r="P114" s="27">
        <f>VLOOKUP($N114,Features!A114:N256,11,FALSE)</f>
        <v>221.36101189999999</v>
      </c>
      <c r="Q114" s="23">
        <f>VLOOKUP($N114,Features!A114:N256,14,FALSE)</f>
        <v>14617.28</v>
      </c>
      <c r="R114" s="23" t="str">
        <f>IF(Table2[[#This Row],[3_Week_Forecast]]&lt;Table2[[#This Row],[Weekly_Sales]], "Underforecast", "Overforecast")</f>
        <v>Underforecast</v>
      </c>
    </row>
    <row r="115" spans="1:18">
      <c r="A115" s="17">
        <v>1</v>
      </c>
      <c r="B115" s="18">
        <v>1</v>
      </c>
      <c r="C115" s="19">
        <v>41005</v>
      </c>
      <c r="D115" s="20">
        <v>57592.12</v>
      </c>
      <c r="E115" s="21" t="b">
        <v>0</v>
      </c>
      <c r="F115" s="22">
        <f>YEAR(Table2[[#This Row],[Date]])</f>
        <v>2012</v>
      </c>
      <c r="G115" s="22" t="str">
        <f>TEXT(Table2[[#This Row],[Date]],"mmm")</f>
        <v>Apr</v>
      </c>
      <c r="H115" s="22" t="str">
        <f>TEXT(Table2[[#This Row],[Date]],"yyyy-mm")</f>
        <v>2012-04</v>
      </c>
      <c r="I115" s="22">
        <f>WEEKNUM(Table2[[#This Row],[Date]])</f>
        <v>14</v>
      </c>
      <c r="J115" s="23">
        <f>Table2[[#This Row],[Weekly_Sales]]*2</f>
        <v>115184.24</v>
      </c>
      <c r="K115" s="28">
        <f t="shared" si="1"/>
        <v>24475.813333333335</v>
      </c>
      <c r="L115" s="28">
        <f>Table2[[#This Row],[Weekly_Sales]]-Table2[[#This Row],[3_Week_Forecast]]</f>
        <v>33116.306666666671</v>
      </c>
      <c r="M115" s="28">
        <f>ABS(Table2[[#This Row],[Forecast Error]]/Table2[[#This Row],[Weekly_Sales]])*100</f>
        <v>57.501454481388549</v>
      </c>
      <c r="N115" s="23" t="str">
        <f>Table2[[#This Row],[Store]] &amp; "_" &amp; TEXT(Table2[[#This Row],[Date]],"yyyy-mm-dd")</f>
        <v>1_2012-04-06</v>
      </c>
      <c r="O115" s="23">
        <f>VLOOKUP($N115,Features!A115:N257,4,FALSE)</f>
        <v>70.430000000000007</v>
      </c>
      <c r="P115" s="27">
        <f>VLOOKUP($N115,Features!A115:N257,11,FALSE)</f>
        <v>221.43561120000001</v>
      </c>
      <c r="Q115" s="23">
        <f>VLOOKUP($N115,Features!A115:N257,14,FALSE)</f>
        <v>18461.259999999998</v>
      </c>
      <c r="R115" s="23" t="str">
        <f>IF(Table2[[#This Row],[3_Week_Forecast]]&lt;Table2[[#This Row],[Weekly_Sales]], "Underforecast", "Overforecast")</f>
        <v>Underforecast</v>
      </c>
    </row>
    <row r="116" spans="1:18">
      <c r="A116" s="17">
        <v>1</v>
      </c>
      <c r="B116" s="18">
        <v>1</v>
      </c>
      <c r="C116" s="19">
        <v>41012</v>
      </c>
      <c r="D116" s="20">
        <v>34684.21</v>
      </c>
      <c r="E116" s="21" t="b">
        <v>0</v>
      </c>
      <c r="F116" s="22">
        <f>YEAR(Table2[[#This Row],[Date]])</f>
        <v>2012</v>
      </c>
      <c r="G116" s="22" t="str">
        <f>TEXT(Table2[[#This Row],[Date]],"mmm")</f>
        <v>Apr</v>
      </c>
      <c r="H116" s="22" t="str">
        <f>TEXT(Table2[[#This Row],[Date]],"yyyy-mm")</f>
        <v>2012-04</v>
      </c>
      <c r="I116" s="22">
        <f>WEEKNUM(Table2[[#This Row],[Date]])</f>
        <v>15</v>
      </c>
      <c r="J116" s="23">
        <f>Table2[[#This Row],[Weekly_Sales]]*2</f>
        <v>69368.42</v>
      </c>
      <c r="K116" s="28">
        <f t="shared" si="1"/>
        <v>36217.56</v>
      </c>
      <c r="L116" s="28">
        <f>Table2[[#This Row],[Weekly_Sales]]-Table2[[#This Row],[3_Week_Forecast]]</f>
        <v>-1533.3499999999985</v>
      </c>
      <c r="M116" s="28">
        <f>ABS(Table2[[#This Row],[Forecast Error]]/Table2[[#This Row],[Weekly_Sales]])*100</f>
        <v>4.4208877757342568</v>
      </c>
      <c r="N116" s="23" t="str">
        <f>Table2[[#This Row],[Store]] &amp; "_" &amp; TEXT(Table2[[#This Row],[Date]],"yyyy-mm-dd")</f>
        <v>1_2012-04-13</v>
      </c>
      <c r="O116" s="23">
        <f>VLOOKUP($N116,Features!A116:N258,4,FALSE)</f>
        <v>69.069999999999993</v>
      </c>
      <c r="P116" s="27">
        <f>VLOOKUP($N116,Features!A116:N258,11,FALSE)</f>
        <v>221.5102105</v>
      </c>
      <c r="Q116" s="23">
        <f>VLOOKUP($N116,Features!A116:N258,14,FALSE)</f>
        <v>12378.28</v>
      </c>
      <c r="R116" s="23" t="str">
        <f>IF(Table2[[#This Row],[3_Week_Forecast]]&lt;Table2[[#This Row],[Weekly_Sales]], "Underforecast", "Overforecast")</f>
        <v>Overforecast</v>
      </c>
    </row>
    <row r="117" spans="1:18">
      <c r="A117" s="17">
        <v>1</v>
      </c>
      <c r="B117" s="18">
        <v>1</v>
      </c>
      <c r="C117" s="19">
        <v>41019</v>
      </c>
      <c r="D117" s="20">
        <v>16976.189999999999</v>
      </c>
      <c r="E117" s="21" t="b">
        <v>0</v>
      </c>
      <c r="F117" s="22">
        <f>YEAR(Table2[[#This Row],[Date]])</f>
        <v>2012</v>
      </c>
      <c r="G117" s="22" t="str">
        <f>TEXT(Table2[[#This Row],[Date]],"mmm")</f>
        <v>Apr</v>
      </c>
      <c r="H117" s="22" t="str">
        <f>TEXT(Table2[[#This Row],[Date]],"yyyy-mm")</f>
        <v>2012-04</v>
      </c>
      <c r="I117" s="22">
        <f>WEEKNUM(Table2[[#This Row],[Date]])</f>
        <v>16</v>
      </c>
      <c r="J117" s="23">
        <f>Table2[[#This Row],[Weekly_Sales]]*2</f>
        <v>33952.379999999997</v>
      </c>
      <c r="K117" s="28">
        <f t="shared" si="1"/>
        <v>40409.730000000003</v>
      </c>
      <c r="L117" s="28">
        <f>Table2[[#This Row],[Weekly_Sales]]-Table2[[#This Row],[3_Week_Forecast]]</f>
        <v>-23433.540000000005</v>
      </c>
      <c r="M117" s="28">
        <f>ABS(Table2[[#This Row],[Forecast Error]]/Table2[[#This Row],[Weekly_Sales]])*100</f>
        <v>138.03768690147794</v>
      </c>
      <c r="N117" s="23" t="str">
        <f>Table2[[#This Row],[Store]] &amp; "_" &amp; TEXT(Table2[[#This Row],[Date]],"yyyy-mm-dd")</f>
        <v>1_2012-04-20</v>
      </c>
      <c r="O117" s="23">
        <f>VLOOKUP($N117,Features!A117:N259,4,FALSE)</f>
        <v>66.760000000000005</v>
      </c>
      <c r="P117" s="27">
        <f>VLOOKUP($N117,Features!A117:N259,11,FALSE)</f>
        <v>221.56407369999999</v>
      </c>
      <c r="Q117" s="23">
        <f>VLOOKUP($N117,Features!A117:N259,14,FALSE)</f>
        <v>8884.7999999999993</v>
      </c>
      <c r="R117" s="23" t="str">
        <f>IF(Table2[[#This Row],[3_Week_Forecast]]&lt;Table2[[#This Row],[Weekly_Sales]], "Underforecast", "Overforecast")</f>
        <v>Overforecast</v>
      </c>
    </row>
    <row r="118" spans="1:18">
      <c r="A118" s="17">
        <v>1</v>
      </c>
      <c r="B118" s="18">
        <v>1</v>
      </c>
      <c r="C118" s="19">
        <v>41026</v>
      </c>
      <c r="D118" s="20">
        <v>16347.6</v>
      </c>
      <c r="E118" s="21" t="b">
        <v>0</v>
      </c>
      <c r="F118" s="22">
        <f>YEAR(Table2[[#This Row],[Date]])</f>
        <v>2012</v>
      </c>
      <c r="G118" s="22" t="str">
        <f>TEXT(Table2[[#This Row],[Date]],"mmm")</f>
        <v>Apr</v>
      </c>
      <c r="H118" s="22" t="str">
        <f>TEXT(Table2[[#This Row],[Date]],"yyyy-mm")</f>
        <v>2012-04</v>
      </c>
      <c r="I118" s="22">
        <f>WEEKNUM(Table2[[#This Row],[Date]])</f>
        <v>17</v>
      </c>
      <c r="J118" s="23">
        <f>Table2[[#This Row],[Weekly_Sales]]*2</f>
        <v>32695.200000000001</v>
      </c>
      <c r="K118" s="28">
        <f t="shared" si="1"/>
        <v>36417.506666666668</v>
      </c>
      <c r="L118" s="28">
        <f>Table2[[#This Row],[Weekly_Sales]]-Table2[[#This Row],[3_Week_Forecast]]</f>
        <v>-20069.906666666669</v>
      </c>
      <c r="M118" s="28">
        <f>ABS(Table2[[#This Row],[Forecast Error]]/Table2[[#This Row],[Weekly_Sales]])*100</f>
        <v>122.7697439787288</v>
      </c>
      <c r="N118" s="23" t="str">
        <f>Table2[[#This Row],[Store]] &amp; "_" &amp; TEXT(Table2[[#This Row],[Date]],"yyyy-mm-dd")</f>
        <v>1_2012-04-27</v>
      </c>
      <c r="O118" s="23">
        <f>VLOOKUP($N118,Features!A118:N260,4,FALSE)</f>
        <v>67.23</v>
      </c>
      <c r="P118" s="27">
        <f>VLOOKUP($N118,Features!A118:N260,11,FALSE)</f>
        <v>221.6179368</v>
      </c>
      <c r="Q118" s="23">
        <f>VLOOKUP($N118,Features!A118:N260,14,FALSE)</f>
        <v>10056.129999999999</v>
      </c>
      <c r="R118" s="23" t="str">
        <f>IF(Table2[[#This Row],[3_Week_Forecast]]&lt;Table2[[#This Row],[Weekly_Sales]], "Underforecast", "Overforecast")</f>
        <v>Overforecast</v>
      </c>
    </row>
    <row r="119" spans="1:18">
      <c r="A119" s="17">
        <v>1</v>
      </c>
      <c r="B119" s="18">
        <v>1</v>
      </c>
      <c r="C119" s="19">
        <v>41033</v>
      </c>
      <c r="D119" s="20">
        <v>17147.439999999999</v>
      </c>
      <c r="E119" s="21" t="b">
        <v>0</v>
      </c>
      <c r="F119" s="22">
        <f>YEAR(Table2[[#This Row],[Date]])</f>
        <v>2012</v>
      </c>
      <c r="G119" s="22" t="str">
        <f>TEXT(Table2[[#This Row],[Date]],"mmm")</f>
        <v>May</v>
      </c>
      <c r="H119" s="22" t="str">
        <f>TEXT(Table2[[#This Row],[Date]],"yyyy-mm")</f>
        <v>2012-05</v>
      </c>
      <c r="I119" s="22">
        <f>WEEKNUM(Table2[[#This Row],[Date]])</f>
        <v>18</v>
      </c>
      <c r="J119" s="23">
        <f>Table2[[#This Row],[Weekly_Sales]]*2</f>
        <v>34294.879999999997</v>
      </c>
      <c r="K119" s="28">
        <f t="shared" si="1"/>
        <v>22669.333333333332</v>
      </c>
      <c r="L119" s="28">
        <f>Table2[[#This Row],[Weekly_Sales]]-Table2[[#This Row],[3_Week_Forecast]]</f>
        <v>-5521.8933333333334</v>
      </c>
      <c r="M119" s="28">
        <f>ABS(Table2[[#This Row],[Forecast Error]]/Table2[[#This Row],[Weekly_Sales]])*100</f>
        <v>32.202435659978015</v>
      </c>
      <c r="N119" s="23" t="str">
        <f>Table2[[#This Row],[Store]] &amp; "_" &amp; TEXT(Table2[[#This Row],[Date]],"yyyy-mm-dd")</f>
        <v>1_2012-05-04</v>
      </c>
      <c r="O119" s="23">
        <f>VLOOKUP($N119,Features!A119:N261,4,FALSE)</f>
        <v>75.55</v>
      </c>
      <c r="P119" s="27">
        <f>VLOOKUP($N119,Features!A119:N261,11,FALSE)</f>
        <v>221.67179999999999</v>
      </c>
      <c r="Q119" s="23">
        <f>VLOOKUP($N119,Features!A119:N261,14,FALSE)</f>
        <v>29598.41</v>
      </c>
      <c r="R119" s="23" t="str">
        <f>IF(Table2[[#This Row],[3_Week_Forecast]]&lt;Table2[[#This Row],[Weekly_Sales]], "Underforecast", "Overforecast")</f>
        <v>Overforecast</v>
      </c>
    </row>
    <row r="120" spans="1:18">
      <c r="A120" s="17">
        <v>1</v>
      </c>
      <c r="B120" s="18">
        <v>1</v>
      </c>
      <c r="C120" s="19">
        <v>41040</v>
      </c>
      <c r="D120" s="20">
        <v>18164.2</v>
      </c>
      <c r="E120" s="21" t="b">
        <v>0</v>
      </c>
      <c r="F120" s="22">
        <f>YEAR(Table2[[#This Row],[Date]])</f>
        <v>2012</v>
      </c>
      <c r="G120" s="22" t="str">
        <f>TEXT(Table2[[#This Row],[Date]],"mmm")</f>
        <v>May</v>
      </c>
      <c r="H120" s="22" t="str">
        <f>TEXT(Table2[[#This Row],[Date]],"yyyy-mm")</f>
        <v>2012-05</v>
      </c>
      <c r="I120" s="22">
        <f>WEEKNUM(Table2[[#This Row],[Date]])</f>
        <v>19</v>
      </c>
      <c r="J120" s="23">
        <f>Table2[[#This Row],[Weekly_Sales]]*2</f>
        <v>36328.400000000001</v>
      </c>
      <c r="K120" s="28">
        <f t="shared" si="1"/>
        <v>16823.743333333332</v>
      </c>
      <c r="L120" s="28">
        <f>Table2[[#This Row],[Weekly_Sales]]-Table2[[#This Row],[3_Week_Forecast]]</f>
        <v>1340.4566666666688</v>
      </c>
      <c r="M120" s="28">
        <f>ABS(Table2[[#This Row],[Forecast Error]]/Table2[[#This Row],[Weekly_Sales]])*100</f>
        <v>7.3796625596870138</v>
      </c>
      <c r="N120" s="23" t="str">
        <f>Table2[[#This Row],[Store]] &amp; "_" &amp; TEXT(Table2[[#This Row],[Date]],"yyyy-mm-dd")</f>
        <v>1_2012-05-11</v>
      </c>
      <c r="O120" s="23">
        <f>VLOOKUP($N120,Features!A120:N262,4,FALSE)</f>
        <v>73.77</v>
      </c>
      <c r="P120" s="27">
        <f>VLOOKUP($N120,Features!A120:N262,11,FALSE)</f>
        <v>221.72566320000001</v>
      </c>
      <c r="Q120" s="23">
        <f>VLOOKUP($N120,Features!A120:N262,14,FALSE)</f>
        <v>13932.94</v>
      </c>
      <c r="R120" s="23" t="str">
        <f>IF(Table2[[#This Row],[3_Week_Forecast]]&lt;Table2[[#This Row],[Weekly_Sales]], "Underforecast", "Overforecast")</f>
        <v>Underforecast</v>
      </c>
    </row>
    <row r="121" spans="1:18">
      <c r="A121" s="17">
        <v>1</v>
      </c>
      <c r="B121" s="18">
        <v>1</v>
      </c>
      <c r="C121" s="19">
        <v>41047</v>
      </c>
      <c r="D121" s="20">
        <v>18517.79</v>
      </c>
      <c r="E121" s="21" t="b">
        <v>0</v>
      </c>
      <c r="F121" s="22">
        <f>YEAR(Table2[[#This Row],[Date]])</f>
        <v>2012</v>
      </c>
      <c r="G121" s="22" t="str">
        <f>TEXT(Table2[[#This Row],[Date]],"mmm")</f>
        <v>May</v>
      </c>
      <c r="H121" s="22" t="str">
        <f>TEXT(Table2[[#This Row],[Date]],"yyyy-mm")</f>
        <v>2012-05</v>
      </c>
      <c r="I121" s="22">
        <f>WEEKNUM(Table2[[#This Row],[Date]])</f>
        <v>20</v>
      </c>
      <c r="J121" s="23">
        <f>Table2[[#This Row],[Weekly_Sales]]*2</f>
        <v>37035.58</v>
      </c>
      <c r="K121" s="28">
        <f t="shared" si="1"/>
        <v>17219.74666666667</v>
      </c>
      <c r="L121" s="28">
        <f>Table2[[#This Row],[Weekly_Sales]]-Table2[[#This Row],[3_Week_Forecast]]</f>
        <v>1298.0433333333312</v>
      </c>
      <c r="M121" s="28">
        <f>ABS(Table2[[#This Row],[Forecast Error]]/Table2[[#This Row],[Weekly_Sales]])*100</f>
        <v>7.009709761982025</v>
      </c>
      <c r="N121" s="23" t="str">
        <f>Table2[[#This Row],[Store]] &amp; "_" &amp; TEXT(Table2[[#This Row],[Date]],"yyyy-mm-dd")</f>
        <v>1_2012-05-18</v>
      </c>
      <c r="O121" s="23">
        <f>VLOOKUP($N121,Features!A121:N263,4,FALSE)</f>
        <v>70.33</v>
      </c>
      <c r="P121" s="27">
        <f>VLOOKUP($N121,Features!A121:N263,11,FALSE)</f>
        <v>221.74267399999999</v>
      </c>
      <c r="Q121" s="23">
        <f>VLOOKUP($N121,Features!A121:N263,14,FALSE)</f>
        <v>13382.92</v>
      </c>
      <c r="R121" s="23" t="str">
        <f>IF(Table2[[#This Row],[3_Week_Forecast]]&lt;Table2[[#This Row],[Weekly_Sales]], "Underforecast", "Overforecast")</f>
        <v>Underforecast</v>
      </c>
    </row>
    <row r="122" spans="1:18">
      <c r="A122" s="17">
        <v>1</v>
      </c>
      <c r="B122" s="18">
        <v>1</v>
      </c>
      <c r="C122" s="19">
        <v>41054</v>
      </c>
      <c r="D122" s="20">
        <v>16963.55</v>
      </c>
      <c r="E122" s="21" t="b">
        <v>0</v>
      </c>
      <c r="F122" s="22">
        <f>YEAR(Table2[[#This Row],[Date]])</f>
        <v>2012</v>
      </c>
      <c r="G122" s="22" t="str">
        <f>TEXT(Table2[[#This Row],[Date]],"mmm")</f>
        <v>May</v>
      </c>
      <c r="H122" s="22" t="str">
        <f>TEXT(Table2[[#This Row],[Date]],"yyyy-mm")</f>
        <v>2012-05</v>
      </c>
      <c r="I122" s="22">
        <f>WEEKNUM(Table2[[#This Row],[Date]])</f>
        <v>21</v>
      </c>
      <c r="J122" s="23">
        <f>Table2[[#This Row],[Weekly_Sales]]*2</f>
        <v>33927.1</v>
      </c>
      <c r="K122" s="28">
        <f t="shared" si="1"/>
        <v>17943.143333333333</v>
      </c>
      <c r="L122" s="28">
        <f>Table2[[#This Row],[Weekly_Sales]]-Table2[[#This Row],[3_Week_Forecast]]</f>
        <v>-979.59333333333416</v>
      </c>
      <c r="M122" s="28">
        <f>ABS(Table2[[#This Row],[Forecast Error]]/Table2[[#This Row],[Weekly_Sales]])*100</f>
        <v>5.7746953517001698</v>
      </c>
      <c r="N122" s="23" t="str">
        <f>Table2[[#This Row],[Store]] &amp; "_" &amp; TEXT(Table2[[#This Row],[Date]],"yyyy-mm-dd")</f>
        <v>1_2012-05-25</v>
      </c>
      <c r="O122" s="23">
        <f>VLOOKUP($N122,Features!A122:N264,4,FALSE)</f>
        <v>77.22</v>
      </c>
      <c r="P122" s="27">
        <f>VLOOKUP($N122,Features!A122:N264,11,FALSE)</f>
        <v>221.744944</v>
      </c>
      <c r="Q122" s="23">
        <f>VLOOKUP($N122,Features!A122:N264,14,FALSE)</f>
        <v>9845.67</v>
      </c>
      <c r="R122" s="23" t="str">
        <f>IF(Table2[[#This Row],[3_Week_Forecast]]&lt;Table2[[#This Row],[Weekly_Sales]], "Underforecast", "Overforecast")</f>
        <v>Overforecast</v>
      </c>
    </row>
    <row r="123" spans="1:18">
      <c r="A123" s="17">
        <v>1</v>
      </c>
      <c r="B123" s="18">
        <v>1</v>
      </c>
      <c r="C123" s="19">
        <v>41061</v>
      </c>
      <c r="D123" s="20">
        <v>16065.49</v>
      </c>
      <c r="E123" s="21" t="b">
        <v>0</v>
      </c>
      <c r="F123" s="22">
        <f>YEAR(Table2[[#This Row],[Date]])</f>
        <v>2012</v>
      </c>
      <c r="G123" s="22" t="str">
        <f>TEXT(Table2[[#This Row],[Date]],"mmm")</f>
        <v>Jun</v>
      </c>
      <c r="H123" s="22" t="str">
        <f>TEXT(Table2[[#This Row],[Date]],"yyyy-mm")</f>
        <v>2012-06</v>
      </c>
      <c r="I123" s="22">
        <f>WEEKNUM(Table2[[#This Row],[Date]])</f>
        <v>22</v>
      </c>
      <c r="J123" s="23">
        <f>Table2[[#This Row],[Weekly_Sales]]*2</f>
        <v>32130.98</v>
      </c>
      <c r="K123" s="28">
        <f t="shared" si="1"/>
        <v>17881.846666666668</v>
      </c>
      <c r="L123" s="28">
        <f>Table2[[#This Row],[Weekly_Sales]]-Table2[[#This Row],[3_Week_Forecast]]</f>
        <v>-1816.3566666666684</v>
      </c>
      <c r="M123" s="28">
        <f>ABS(Table2[[#This Row],[Forecast Error]]/Table2[[#This Row],[Weekly_Sales]])*100</f>
        <v>11.30595248988153</v>
      </c>
      <c r="N123" s="23" t="str">
        <f>Table2[[#This Row],[Store]] &amp; "_" &amp; TEXT(Table2[[#This Row],[Date]],"yyyy-mm-dd")</f>
        <v>1_2012-06-01</v>
      </c>
      <c r="O123" s="23">
        <f>VLOOKUP($N123,Features!A123:N265,4,FALSE)</f>
        <v>77.95</v>
      </c>
      <c r="P123" s="27">
        <f>VLOOKUP($N123,Features!A123:N265,11,FALSE)</f>
        <v>221.74721389999999</v>
      </c>
      <c r="Q123" s="23">
        <f>VLOOKUP($N123,Features!A123:N265,14,FALSE)</f>
        <v>10308.32</v>
      </c>
      <c r="R123" s="23" t="str">
        <f>IF(Table2[[#This Row],[3_Week_Forecast]]&lt;Table2[[#This Row],[Weekly_Sales]], "Underforecast", "Overforecast")</f>
        <v>Overforecast</v>
      </c>
    </row>
    <row r="124" spans="1:18">
      <c r="A124" s="17">
        <v>1</v>
      </c>
      <c r="B124" s="18">
        <v>1</v>
      </c>
      <c r="C124" s="19">
        <v>41068</v>
      </c>
      <c r="D124" s="20">
        <v>17666</v>
      </c>
      <c r="E124" s="21" t="b">
        <v>0</v>
      </c>
      <c r="F124" s="22">
        <f>YEAR(Table2[[#This Row],[Date]])</f>
        <v>2012</v>
      </c>
      <c r="G124" s="22" t="str">
        <f>TEXT(Table2[[#This Row],[Date]],"mmm")</f>
        <v>Jun</v>
      </c>
      <c r="H124" s="22" t="str">
        <f>TEXT(Table2[[#This Row],[Date]],"yyyy-mm")</f>
        <v>2012-06</v>
      </c>
      <c r="I124" s="22">
        <f>WEEKNUM(Table2[[#This Row],[Date]])</f>
        <v>23</v>
      </c>
      <c r="J124" s="23">
        <f>Table2[[#This Row],[Weekly_Sales]]*2</f>
        <v>35332</v>
      </c>
      <c r="K124" s="28">
        <f t="shared" si="1"/>
        <v>17182.276666666665</v>
      </c>
      <c r="L124" s="28">
        <f>Table2[[#This Row],[Weekly_Sales]]-Table2[[#This Row],[3_Week_Forecast]]</f>
        <v>483.72333333333518</v>
      </c>
      <c r="M124" s="28">
        <f>ABS(Table2[[#This Row],[Forecast Error]]/Table2[[#This Row],[Weekly_Sales]])*100</f>
        <v>2.7381599305634277</v>
      </c>
      <c r="N124" s="23" t="str">
        <f>Table2[[#This Row],[Store]] &amp; "_" &amp; TEXT(Table2[[#This Row],[Date]],"yyyy-mm-dd")</f>
        <v>1_2012-06-08</v>
      </c>
      <c r="O124" s="23">
        <f>VLOOKUP($N124,Features!A124:N266,4,FALSE)</f>
        <v>78.3</v>
      </c>
      <c r="P124" s="27">
        <f>VLOOKUP($N124,Features!A124:N266,11,FALSE)</f>
        <v>221.7494839</v>
      </c>
      <c r="Q124" s="23">
        <f>VLOOKUP($N124,Features!A124:N266,14,FALSE)</f>
        <v>18809.11</v>
      </c>
      <c r="R124" s="23" t="str">
        <f>IF(Table2[[#This Row],[3_Week_Forecast]]&lt;Table2[[#This Row],[Weekly_Sales]], "Underforecast", "Overforecast")</f>
        <v>Underforecast</v>
      </c>
    </row>
    <row r="125" spans="1:18">
      <c r="A125" s="17">
        <v>1</v>
      </c>
      <c r="B125" s="18">
        <v>1</v>
      </c>
      <c r="C125" s="19">
        <v>41075</v>
      </c>
      <c r="D125" s="20">
        <v>17558.82</v>
      </c>
      <c r="E125" s="21" t="b">
        <v>0</v>
      </c>
      <c r="F125" s="22">
        <f>YEAR(Table2[[#This Row],[Date]])</f>
        <v>2012</v>
      </c>
      <c r="G125" s="22" t="str">
        <f>TEXT(Table2[[#This Row],[Date]],"mmm")</f>
        <v>Jun</v>
      </c>
      <c r="H125" s="22" t="str">
        <f>TEXT(Table2[[#This Row],[Date]],"yyyy-mm")</f>
        <v>2012-06</v>
      </c>
      <c r="I125" s="22">
        <f>WEEKNUM(Table2[[#This Row],[Date]])</f>
        <v>24</v>
      </c>
      <c r="J125" s="23">
        <f>Table2[[#This Row],[Weekly_Sales]]*2</f>
        <v>35117.64</v>
      </c>
      <c r="K125" s="28">
        <f t="shared" si="1"/>
        <v>16898.346666666668</v>
      </c>
      <c r="L125" s="28">
        <f>Table2[[#This Row],[Weekly_Sales]]-Table2[[#This Row],[3_Week_Forecast]]</f>
        <v>660.47333333333154</v>
      </c>
      <c r="M125" s="28">
        <f>ABS(Table2[[#This Row],[Forecast Error]]/Table2[[#This Row],[Weekly_Sales]])*100</f>
        <v>3.7614904266535651</v>
      </c>
      <c r="N125" s="23" t="str">
        <f>Table2[[#This Row],[Store]] &amp; "_" &amp; TEXT(Table2[[#This Row],[Date]],"yyyy-mm-dd")</f>
        <v>1_2012-06-15</v>
      </c>
      <c r="O125" s="23">
        <f>VLOOKUP($N125,Features!A125:N267,4,FALSE)</f>
        <v>79.349999999999994</v>
      </c>
      <c r="P125" s="27">
        <f>VLOOKUP($N125,Features!A125:N267,11,FALSE)</f>
        <v>221.76264209999999</v>
      </c>
      <c r="Q125" s="23">
        <f>VLOOKUP($N125,Features!A125:N267,14,FALSE)</f>
        <v>11235.38</v>
      </c>
      <c r="R125" s="23" t="str">
        <f>IF(Table2[[#This Row],[3_Week_Forecast]]&lt;Table2[[#This Row],[Weekly_Sales]], "Underforecast", "Overforecast")</f>
        <v>Underforecast</v>
      </c>
    </row>
    <row r="126" spans="1:18">
      <c r="A126" s="17">
        <v>1</v>
      </c>
      <c r="B126" s="18">
        <v>1</v>
      </c>
      <c r="C126" s="19">
        <v>41082</v>
      </c>
      <c r="D126" s="20">
        <v>16633.41</v>
      </c>
      <c r="E126" s="21" t="b">
        <v>0</v>
      </c>
      <c r="F126" s="22">
        <f>YEAR(Table2[[#This Row],[Date]])</f>
        <v>2012</v>
      </c>
      <c r="G126" s="22" t="str">
        <f>TEXT(Table2[[#This Row],[Date]],"mmm")</f>
        <v>Jun</v>
      </c>
      <c r="H126" s="22" t="str">
        <f>TEXT(Table2[[#This Row],[Date]],"yyyy-mm")</f>
        <v>2012-06</v>
      </c>
      <c r="I126" s="22">
        <f>WEEKNUM(Table2[[#This Row],[Date]])</f>
        <v>25</v>
      </c>
      <c r="J126" s="23">
        <f>Table2[[#This Row],[Weekly_Sales]]*2</f>
        <v>33266.82</v>
      </c>
      <c r="K126" s="28">
        <f t="shared" si="1"/>
        <v>17096.77</v>
      </c>
      <c r="L126" s="28">
        <f>Table2[[#This Row],[Weekly_Sales]]-Table2[[#This Row],[3_Week_Forecast]]</f>
        <v>-463.36000000000058</v>
      </c>
      <c r="M126" s="28">
        <f>ABS(Table2[[#This Row],[Forecast Error]]/Table2[[#This Row],[Weekly_Sales]])*100</f>
        <v>2.7857186229402182</v>
      </c>
      <c r="N126" s="23" t="str">
        <f>Table2[[#This Row],[Store]] &amp; "_" &amp; TEXT(Table2[[#This Row],[Date]],"yyyy-mm-dd")</f>
        <v>1_2012-06-22</v>
      </c>
      <c r="O126" s="23">
        <f>VLOOKUP($N126,Features!A126:N268,4,FALSE)</f>
        <v>78.39</v>
      </c>
      <c r="P126" s="27">
        <f>VLOOKUP($N126,Features!A126:N268,11,FALSE)</f>
        <v>221.8030211</v>
      </c>
      <c r="Q126" s="23">
        <f>VLOOKUP($N126,Features!A126:N268,14,FALSE)</f>
        <v>18386.61</v>
      </c>
      <c r="R126" s="23" t="str">
        <f>IF(Table2[[#This Row],[3_Week_Forecast]]&lt;Table2[[#This Row],[Weekly_Sales]], "Underforecast", "Overforecast")</f>
        <v>Overforecast</v>
      </c>
    </row>
    <row r="127" spans="1:18">
      <c r="A127" s="17">
        <v>1</v>
      </c>
      <c r="B127" s="18">
        <v>1</v>
      </c>
      <c r="C127" s="19">
        <v>41089</v>
      </c>
      <c r="D127" s="20">
        <v>15722.82</v>
      </c>
      <c r="E127" s="21" t="b">
        <v>0</v>
      </c>
      <c r="F127" s="22">
        <f>YEAR(Table2[[#This Row],[Date]])</f>
        <v>2012</v>
      </c>
      <c r="G127" s="22" t="str">
        <f>TEXT(Table2[[#This Row],[Date]],"mmm")</f>
        <v>Jun</v>
      </c>
      <c r="H127" s="22" t="str">
        <f>TEXT(Table2[[#This Row],[Date]],"yyyy-mm")</f>
        <v>2012-06</v>
      </c>
      <c r="I127" s="22">
        <f>WEEKNUM(Table2[[#This Row],[Date]])</f>
        <v>26</v>
      </c>
      <c r="J127" s="23">
        <f>Table2[[#This Row],[Weekly_Sales]]*2</f>
        <v>31445.64</v>
      </c>
      <c r="K127" s="28">
        <f t="shared" si="1"/>
        <v>17286.076666666664</v>
      </c>
      <c r="L127" s="28">
        <f>Table2[[#This Row],[Weekly_Sales]]-Table2[[#This Row],[3_Week_Forecast]]</f>
        <v>-1563.2566666666644</v>
      </c>
      <c r="M127" s="28">
        <f>ABS(Table2[[#This Row],[Forecast Error]]/Table2[[#This Row],[Weekly_Sales]])*100</f>
        <v>9.9425972355255894</v>
      </c>
      <c r="N127" s="23" t="str">
        <f>Table2[[#This Row],[Store]] &amp; "_" &amp; TEXT(Table2[[#This Row],[Date]],"yyyy-mm-dd")</f>
        <v>1_2012-06-29</v>
      </c>
      <c r="O127" s="23">
        <f>VLOOKUP($N127,Features!A127:N269,4,FALSE)</f>
        <v>84.88</v>
      </c>
      <c r="P127" s="27">
        <f>VLOOKUP($N127,Features!A127:N269,11,FALSE)</f>
        <v>221.8434</v>
      </c>
      <c r="Q127" s="23">
        <f>VLOOKUP($N127,Features!A127:N269,14,FALSE)</f>
        <v>8776.2900000000009</v>
      </c>
      <c r="R127" s="23" t="str">
        <f>IF(Table2[[#This Row],[3_Week_Forecast]]&lt;Table2[[#This Row],[Weekly_Sales]], "Underforecast", "Overforecast")</f>
        <v>Overforecast</v>
      </c>
    </row>
    <row r="128" spans="1:18">
      <c r="A128" s="17">
        <v>1</v>
      </c>
      <c r="B128" s="18">
        <v>1</v>
      </c>
      <c r="C128" s="19">
        <v>41096</v>
      </c>
      <c r="D128" s="20">
        <v>17823.37</v>
      </c>
      <c r="E128" s="21" t="b">
        <v>0</v>
      </c>
      <c r="F128" s="22">
        <f>YEAR(Table2[[#This Row],[Date]])</f>
        <v>2012</v>
      </c>
      <c r="G128" s="22" t="str">
        <f>TEXT(Table2[[#This Row],[Date]],"mmm")</f>
        <v>Jul</v>
      </c>
      <c r="H128" s="22" t="str">
        <f>TEXT(Table2[[#This Row],[Date]],"yyyy-mm")</f>
        <v>2012-07</v>
      </c>
      <c r="I128" s="22">
        <f>WEEKNUM(Table2[[#This Row],[Date]])</f>
        <v>27</v>
      </c>
      <c r="J128" s="23">
        <f>Table2[[#This Row],[Weekly_Sales]]*2</f>
        <v>35646.74</v>
      </c>
      <c r="K128" s="28">
        <f t="shared" si="1"/>
        <v>16638.349999999999</v>
      </c>
      <c r="L128" s="28">
        <f>Table2[[#This Row],[Weekly_Sales]]-Table2[[#This Row],[3_Week_Forecast]]</f>
        <v>1185.0200000000004</v>
      </c>
      <c r="M128" s="28">
        <f>ABS(Table2[[#This Row],[Forecast Error]]/Table2[[#This Row],[Weekly_Sales]])*100</f>
        <v>6.6486865278564071</v>
      </c>
      <c r="N128" s="23" t="str">
        <f>Table2[[#This Row],[Store]] &amp; "_" &amp; TEXT(Table2[[#This Row],[Date]],"yyyy-mm-dd")</f>
        <v>1_2012-07-06</v>
      </c>
      <c r="O128" s="23">
        <f>VLOOKUP($N128,Features!A128:N270,4,FALSE)</f>
        <v>81.569999999999993</v>
      </c>
      <c r="P128" s="27">
        <f>VLOOKUP($N128,Features!A128:N270,11,FALSE)</f>
        <v>221.88377890000001</v>
      </c>
      <c r="Q128" s="23">
        <f>VLOOKUP($N128,Features!A128:N270,14,FALSE)</f>
        <v>22721.040000000001</v>
      </c>
      <c r="R128" s="23" t="str">
        <f>IF(Table2[[#This Row],[3_Week_Forecast]]&lt;Table2[[#This Row],[Weekly_Sales]], "Underforecast", "Overforecast")</f>
        <v>Underforecast</v>
      </c>
    </row>
    <row r="129" spans="1:18">
      <c r="A129" s="17">
        <v>1</v>
      </c>
      <c r="B129" s="18">
        <v>1</v>
      </c>
      <c r="C129" s="19">
        <v>41103</v>
      </c>
      <c r="D129" s="20">
        <v>16566.18</v>
      </c>
      <c r="E129" s="21" t="b">
        <v>0</v>
      </c>
      <c r="F129" s="22">
        <f>YEAR(Table2[[#This Row],[Date]])</f>
        <v>2012</v>
      </c>
      <c r="G129" s="22" t="str">
        <f>TEXT(Table2[[#This Row],[Date]],"mmm")</f>
        <v>Jul</v>
      </c>
      <c r="H129" s="22" t="str">
        <f>TEXT(Table2[[#This Row],[Date]],"yyyy-mm")</f>
        <v>2012-07</v>
      </c>
      <c r="I129" s="22">
        <f>WEEKNUM(Table2[[#This Row],[Date]])</f>
        <v>28</v>
      </c>
      <c r="J129" s="23">
        <f>Table2[[#This Row],[Weekly_Sales]]*2</f>
        <v>33132.36</v>
      </c>
      <c r="K129" s="28">
        <f t="shared" si="1"/>
        <v>16726.533333333333</v>
      </c>
      <c r="L129" s="28">
        <f>Table2[[#This Row],[Weekly_Sales]]-Table2[[#This Row],[3_Week_Forecast]]</f>
        <v>-160.35333333333256</v>
      </c>
      <c r="M129" s="28">
        <f>ABS(Table2[[#This Row],[Forecast Error]]/Table2[[#This Row],[Weekly_Sales]])*100</f>
        <v>0.96795600031710727</v>
      </c>
      <c r="N129" s="23" t="str">
        <f>Table2[[#This Row],[Store]] &amp; "_" &amp; TEXT(Table2[[#This Row],[Date]],"yyyy-mm-dd")</f>
        <v>1_2012-07-13</v>
      </c>
      <c r="O129" s="23">
        <f>VLOOKUP($N129,Features!A129:N271,4,FALSE)</f>
        <v>77.12</v>
      </c>
      <c r="P129" s="27">
        <f>VLOOKUP($N129,Features!A129:N271,11,FALSE)</f>
        <v>221.92415790000001</v>
      </c>
      <c r="Q129" s="23">
        <f>VLOOKUP($N129,Features!A129:N271,14,FALSE)</f>
        <v>13805.32</v>
      </c>
      <c r="R129" s="23" t="str">
        <f>IF(Table2[[#This Row],[3_Week_Forecast]]&lt;Table2[[#This Row],[Weekly_Sales]], "Underforecast", "Overforecast")</f>
        <v>Overforecast</v>
      </c>
    </row>
    <row r="130" spans="1:18">
      <c r="A130" s="17">
        <v>1</v>
      </c>
      <c r="B130" s="18">
        <v>1</v>
      </c>
      <c r="C130" s="19">
        <v>41110</v>
      </c>
      <c r="D130" s="20">
        <v>16348.06</v>
      </c>
      <c r="E130" s="21" t="b">
        <v>0</v>
      </c>
      <c r="F130" s="22">
        <f>YEAR(Table2[[#This Row],[Date]])</f>
        <v>2012</v>
      </c>
      <c r="G130" s="22" t="str">
        <f>TEXT(Table2[[#This Row],[Date]],"mmm")</f>
        <v>Jul</v>
      </c>
      <c r="H130" s="22" t="str">
        <f>TEXT(Table2[[#This Row],[Date]],"yyyy-mm")</f>
        <v>2012-07</v>
      </c>
      <c r="I130" s="22">
        <f>WEEKNUM(Table2[[#This Row],[Date]])</f>
        <v>29</v>
      </c>
      <c r="J130" s="23">
        <f>Table2[[#This Row],[Weekly_Sales]]*2</f>
        <v>32696.12</v>
      </c>
      <c r="K130" s="28">
        <f t="shared" si="1"/>
        <v>16704.123333333333</v>
      </c>
      <c r="L130" s="28">
        <f>Table2[[#This Row],[Weekly_Sales]]-Table2[[#This Row],[3_Week_Forecast]]</f>
        <v>-356.0633333333335</v>
      </c>
      <c r="M130" s="28">
        <f>ABS(Table2[[#This Row],[Forecast Error]]/Table2[[#This Row],[Weekly_Sales]])*100</f>
        <v>2.1780158216530494</v>
      </c>
      <c r="N130" s="23" t="str">
        <f>Table2[[#This Row],[Store]] &amp; "_" &amp; TEXT(Table2[[#This Row],[Date]],"yyyy-mm-dd")</f>
        <v>1_2012-07-20</v>
      </c>
      <c r="O130" s="23">
        <f>VLOOKUP($N130,Features!A130:N272,4,FALSE)</f>
        <v>80.42</v>
      </c>
      <c r="P130" s="27">
        <f>VLOOKUP($N130,Features!A130:N272,11,FALSE)</f>
        <v>221.93272669999999</v>
      </c>
      <c r="Q130" s="23">
        <f>VLOOKUP($N130,Features!A130:N272,14,FALSE)</f>
        <v>9026.4599999999991</v>
      </c>
      <c r="R130" s="23" t="str">
        <f>IF(Table2[[#This Row],[3_Week_Forecast]]&lt;Table2[[#This Row],[Weekly_Sales]], "Underforecast", "Overforecast")</f>
        <v>Overforecast</v>
      </c>
    </row>
    <row r="131" spans="1:18">
      <c r="A131" s="17">
        <v>1</v>
      </c>
      <c r="B131" s="18">
        <v>1</v>
      </c>
      <c r="C131" s="19">
        <v>41117</v>
      </c>
      <c r="D131" s="20">
        <v>15731.18</v>
      </c>
      <c r="E131" s="21" t="b">
        <v>0</v>
      </c>
      <c r="F131" s="22">
        <f>YEAR(Table2[[#This Row],[Date]])</f>
        <v>2012</v>
      </c>
      <c r="G131" s="22" t="str">
        <f>TEXT(Table2[[#This Row],[Date]],"mmm")</f>
        <v>Jul</v>
      </c>
      <c r="H131" s="22" t="str">
        <f>TEXT(Table2[[#This Row],[Date]],"yyyy-mm")</f>
        <v>2012-07</v>
      </c>
      <c r="I131" s="22">
        <f>WEEKNUM(Table2[[#This Row],[Date]])</f>
        <v>30</v>
      </c>
      <c r="J131" s="24">
        <f>Table2[[#This Row],[Weekly_Sales]]*2</f>
        <v>31462.36</v>
      </c>
      <c r="K131" s="28">
        <f t="shared" si="1"/>
        <v>16912.536666666667</v>
      </c>
      <c r="L131" s="28">
        <f>Table2[[#This Row],[Weekly_Sales]]-Table2[[#This Row],[3_Week_Forecast]]</f>
        <v>-1181.3566666666666</v>
      </c>
      <c r="M131" s="28">
        <f>ABS(Table2[[#This Row],[Forecast Error]]/Table2[[#This Row],[Weekly_Sales]])*100</f>
        <v>7.5096506852420895</v>
      </c>
      <c r="N131" s="23" t="str">
        <f>Table2[[#This Row],[Store]] &amp; "_" &amp; TEXT(Table2[[#This Row],[Date]],"yyyy-mm-dd")</f>
        <v>1_2012-07-27</v>
      </c>
      <c r="O131" s="23">
        <f>VLOOKUP($N131,Features!A131:N273,4,FALSE)</f>
        <v>82.66</v>
      </c>
      <c r="P131" s="27">
        <f>VLOOKUP($N131,Features!A131:N273,11,FALSE)</f>
        <v>221.9412954</v>
      </c>
      <c r="Q131" s="23">
        <f>VLOOKUP($N131,Features!A131:N273,14,FALSE)</f>
        <v>22130.240000000002</v>
      </c>
      <c r="R131" s="23" t="str">
        <f>IF(Table2[[#This Row],[3_Week_Forecast]]&lt;Table2[[#This Row],[Weekly_Sales]], "Underforecast", "Overforecast")</f>
        <v>Overforecast</v>
      </c>
    </row>
    <row r="132" spans="1:18">
      <c r="A132" s="17">
        <v>1</v>
      </c>
      <c r="B132" s="18">
        <v>1</v>
      </c>
      <c r="C132" s="19">
        <v>41124</v>
      </c>
      <c r="D132" s="20">
        <v>16628.310000000001</v>
      </c>
      <c r="E132" s="21" t="b">
        <v>0</v>
      </c>
      <c r="F132" s="22">
        <f>YEAR(Table2[[#This Row],[Date]])</f>
        <v>2012</v>
      </c>
      <c r="G132" s="22" t="str">
        <f>TEXT(Table2[[#This Row],[Date]],"mmm")</f>
        <v>Aug</v>
      </c>
      <c r="H132" s="22" t="str">
        <f>TEXT(Table2[[#This Row],[Date]],"yyyy-mm")</f>
        <v>2012-08</v>
      </c>
      <c r="I132" s="22">
        <f>WEEKNUM(Table2[[#This Row],[Date]])</f>
        <v>31</v>
      </c>
      <c r="J132" s="23">
        <f>Table2[[#This Row],[Weekly_Sales]]*2</f>
        <v>33256.620000000003</v>
      </c>
      <c r="K132" s="28">
        <f t="shared" si="1"/>
        <v>16215.14</v>
      </c>
      <c r="L132" s="28">
        <f>Table2[[#This Row],[Weekly_Sales]]-Table2[[#This Row],[3_Week_Forecast]]</f>
        <v>413.17000000000189</v>
      </c>
      <c r="M132" s="28">
        <f>ABS(Table2[[#This Row],[Forecast Error]]/Table2[[#This Row],[Weekly_Sales]])*100</f>
        <v>2.4847383769006104</v>
      </c>
      <c r="N132" s="23" t="str">
        <f>Table2[[#This Row],[Store]] &amp; "_" &amp; TEXT(Table2[[#This Row],[Date]],"yyyy-mm-dd")</f>
        <v>1_2012-08-03</v>
      </c>
      <c r="O132" s="23">
        <f>VLOOKUP($N132,Features!A132:N274,4,FALSE)</f>
        <v>86.11</v>
      </c>
      <c r="P132" s="27">
        <f>VLOOKUP($N132,Features!A132:N274,11,FALSE)</f>
        <v>221.94986420000001</v>
      </c>
      <c r="Q132" s="23">
        <f>VLOOKUP($N132,Features!A132:N274,14,FALSE)</f>
        <v>44403.74</v>
      </c>
      <c r="R132" s="23" t="str">
        <f>IF(Table2[[#This Row],[3_Week_Forecast]]&lt;Table2[[#This Row],[Weekly_Sales]], "Underforecast", "Overforecast")</f>
        <v>Underforecast</v>
      </c>
    </row>
    <row r="133" spans="1:18">
      <c r="A133" s="17">
        <v>1</v>
      </c>
      <c r="B133" s="18">
        <v>1</v>
      </c>
      <c r="C133" s="19">
        <v>41131</v>
      </c>
      <c r="D133" s="20">
        <v>16119.92</v>
      </c>
      <c r="E133" s="21" t="b">
        <v>0</v>
      </c>
      <c r="F133" s="22">
        <f>YEAR(Table2[[#This Row],[Date]])</f>
        <v>2012</v>
      </c>
      <c r="G133" s="22" t="str">
        <f>TEXT(Table2[[#This Row],[Date]],"mmm")</f>
        <v>Aug</v>
      </c>
      <c r="H133" s="22" t="str">
        <f>TEXT(Table2[[#This Row],[Date]],"yyyy-mm")</f>
        <v>2012-08</v>
      </c>
      <c r="I133" s="22">
        <f>WEEKNUM(Table2[[#This Row],[Date]])</f>
        <v>32</v>
      </c>
      <c r="J133" s="23">
        <f>Table2[[#This Row],[Weekly_Sales]]*2</f>
        <v>32239.84</v>
      </c>
      <c r="K133" s="28">
        <f t="shared" si="1"/>
        <v>16235.85</v>
      </c>
      <c r="L133" s="28">
        <f>Table2[[#This Row],[Weekly_Sales]]-Table2[[#This Row],[3_Week_Forecast]]</f>
        <v>-115.93000000000029</v>
      </c>
      <c r="M133" s="28">
        <f>ABS(Table2[[#This Row],[Forecast Error]]/Table2[[#This Row],[Weekly_Sales]])*100</f>
        <v>0.71917230358463502</v>
      </c>
      <c r="N133" s="23" t="str">
        <f>Table2[[#This Row],[Store]] &amp; "_" &amp; TEXT(Table2[[#This Row],[Date]],"yyyy-mm-dd")</f>
        <v>1_2012-08-10</v>
      </c>
      <c r="O133" s="23">
        <f>VLOOKUP($N133,Features!A133:N275,4,FALSE)</f>
        <v>85.05</v>
      </c>
      <c r="P133" s="27">
        <f>VLOOKUP($N133,Features!A133:N275,11,FALSE)</f>
        <v>221.95843289999999</v>
      </c>
      <c r="Q133" s="23">
        <f>VLOOKUP($N133,Features!A133:N275,14,FALSE)</f>
        <v>23488.55</v>
      </c>
      <c r="R133" s="23" t="str">
        <f>IF(Table2[[#This Row],[3_Week_Forecast]]&lt;Table2[[#This Row],[Weekly_Sales]], "Underforecast", "Overforecast")</f>
        <v>Overforecast</v>
      </c>
    </row>
    <row r="134" spans="1:18">
      <c r="A134" s="17">
        <v>1</v>
      </c>
      <c r="B134" s="18">
        <v>1</v>
      </c>
      <c r="C134" s="19">
        <v>41138</v>
      </c>
      <c r="D134" s="20">
        <v>17330.7</v>
      </c>
      <c r="E134" s="21" t="b">
        <v>0</v>
      </c>
      <c r="F134" s="22">
        <f>YEAR(Table2[[#This Row],[Date]])</f>
        <v>2012</v>
      </c>
      <c r="G134" s="22" t="str">
        <f>TEXT(Table2[[#This Row],[Date]],"mmm")</f>
        <v>Aug</v>
      </c>
      <c r="H134" s="22" t="str">
        <f>TEXT(Table2[[#This Row],[Date]],"yyyy-mm")</f>
        <v>2012-08</v>
      </c>
      <c r="I134" s="22">
        <f>WEEKNUM(Table2[[#This Row],[Date]])</f>
        <v>33</v>
      </c>
      <c r="J134" s="23">
        <f>Table2[[#This Row],[Weekly_Sales]]*2</f>
        <v>34661.4</v>
      </c>
      <c r="K134" s="28">
        <f t="shared" ref="K134:K144" si="2">AVERAGE(D131:D133)</f>
        <v>16159.803333333335</v>
      </c>
      <c r="L134" s="28">
        <f>Table2[[#This Row],[Weekly_Sales]]-Table2[[#This Row],[3_Week_Forecast]]</f>
        <v>1170.8966666666656</v>
      </c>
      <c r="M134" s="28">
        <f>ABS(Table2[[#This Row],[Forecast Error]]/Table2[[#This Row],[Weekly_Sales]])*100</f>
        <v>6.7561994995393464</v>
      </c>
      <c r="N134" s="23" t="str">
        <f>Table2[[#This Row],[Store]] &amp; "_" &amp; TEXT(Table2[[#This Row],[Date]],"yyyy-mm-dd")</f>
        <v>1_2012-08-17</v>
      </c>
      <c r="O134" s="23">
        <f>VLOOKUP($N134,Features!A134:N276,4,FALSE)</f>
        <v>84.85</v>
      </c>
      <c r="P134" s="27">
        <f>VLOOKUP($N134,Features!A134:N276,11,FALSE)</f>
        <v>222.0384109</v>
      </c>
      <c r="Q134" s="23">
        <f>VLOOKUP($N134,Features!A134:N276,14,FALSE)</f>
        <v>10003.11</v>
      </c>
      <c r="R134" s="23" t="str">
        <f>IF(Table2[[#This Row],[3_Week_Forecast]]&lt;Table2[[#This Row],[Weekly_Sales]], "Underforecast", "Overforecast")</f>
        <v>Underforecast</v>
      </c>
    </row>
    <row r="135" spans="1:18">
      <c r="A135" s="17">
        <v>1</v>
      </c>
      <c r="B135" s="18">
        <v>1</v>
      </c>
      <c r="C135" s="19">
        <v>41145</v>
      </c>
      <c r="D135" s="20">
        <v>16286.4</v>
      </c>
      <c r="E135" s="21" t="b">
        <v>0</v>
      </c>
      <c r="F135" s="22">
        <f>YEAR(Table2[[#This Row],[Date]])</f>
        <v>2012</v>
      </c>
      <c r="G135" s="22" t="str">
        <f>TEXT(Table2[[#This Row],[Date]],"mmm")</f>
        <v>Aug</v>
      </c>
      <c r="H135" s="22" t="str">
        <f>TEXT(Table2[[#This Row],[Date]],"yyyy-mm")</f>
        <v>2012-08</v>
      </c>
      <c r="I135" s="22">
        <f>WEEKNUM(Table2[[#This Row],[Date]])</f>
        <v>34</v>
      </c>
      <c r="J135" s="23">
        <f>Table2[[#This Row],[Weekly_Sales]]*2</f>
        <v>32572.799999999999</v>
      </c>
      <c r="K135" s="28">
        <f t="shared" si="2"/>
        <v>16692.976666666669</v>
      </c>
      <c r="L135" s="28">
        <f>Table2[[#This Row],[Weekly_Sales]]-Table2[[#This Row],[3_Week_Forecast]]</f>
        <v>-406.57666666666955</v>
      </c>
      <c r="M135" s="28">
        <f>ABS(Table2[[#This Row],[Forecast Error]]/Table2[[#This Row],[Weekly_Sales]])*100</f>
        <v>2.4964182794642742</v>
      </c>
      <c r="N135" s="23" t="str">
        <f>Table2[[#This Row],[Store]] &amp; "_" &amp; TEXT(Table2[[#This Row],[Date]],"yyyy-mm-dd")</f>
        <v>1_2012-08-24</v>
      </c>
      <c r="O135" s="23">
        <f>VLOOKUP($N135,Features!A135:N277,4,FALSE)</f>
        <v>77.66</v>
      </c>
      <c r="P135" s="27">
        <f>VLOOKUP($N135,Features!A135:N277,11,FALSE)</f>
        <v>222.17194570000001</v>
      </c>
      <c r="Q135" s="23">
        <f>VLOOKUP($N135,Features!A135:N277,14,FALSE)</f>
        <v>17952.14</v>
      </c>
      <c r="R135" s="23" t="str">
        <f>IF(Table2[[#This Row],[3_Week_Forecast]]&lt;Table2[[#This Row],[Weekly_Sales]], "Underforecast", "Overforecast")</f>
        <v>Overforecast</v>
      </c>
    </row>
    <row r="136" spans="1:18">
      <c r="A136" s="17">
        <v>1</v>
      </c>
      <c r="B136" s="18">
        <v>1</v>
      </c>
      <c r="C136" s="19">
        <v>41152</v>
      </c>
      <c r="D136" s="20">
        <v>16680.240000000002</v>
      </c>
      <c r="E136" s="21" t="b">
        <v>0</v>
      </c>
      <c r="F136" s="22">
        <f>YEAR(Table2[[#This Row],[Date]])</f>
        <v>2012</v>
      </c>
      <c r="G136" s="22" t="str">
        <f>TEXT(Table2[[#This Row],[Date]],"mmm")</f>
        <v>Aug</v>
      </c>
      <c r="H136" s="22" t="str">
        <f>TEXT(Table2[[#This Row],[Date]],"yyyy-mm")</f>
        <v>2012-08</v>
      </c>
      <c r="I136" s="22">
        <f>WEEKNUM(Table2[[#This Row],[Date]])</f>
        <v>35</v>
      </c>
      <c r="J136" s="23">
        <f>Table2[[#This Row],[Weekly_Sales]]*2</f>
        <v>33360.480000000003</v>
      </c>
      <c r="K136" s="28">
        <f t="shared" si="2"/>
        <v>16579.006666666668</v>
      </c>
      <c r="L136" s="28">
        <f>Table2[[#This Row],[Weekly_Sales]]-Table2[[#This Row],[3_Week_Forecast]]</f>
        <v>101.23333333333358</v>
      </c>
      <c r="M136" s="28">
        <f>ABS(Table2[[#This Row],[Forecast Error]]/Table2[[#This Row],[Weekly_Sales]])*100</f>
        <v>0.60690573596862851</v>
      </c>
      <c r="N136" s="23" t="str">
        <f>Table2[[#This Row],[Store]] &amp; "_" &amp; TEXT(Table2[[#This Row],[Date]],"yyyy-mm-dd")</f>
        <v>1_2012-08-31</v>
      </c>
      <c r="O136" s="23">
        <f>VLOOKUP($N136,Features!A136:N278,4,FALSE)</f>
        <v>80.489999999999995</v>
      </c>
      <c r="P136" s="27">
        <f>VLOOKUP($N136,Features!A136:N278,11,FALSE)</f>
        <v>222.30548049999999</v>
      </c>
      <c r="Q136" s="23">
        <f>VLOOKUP($N136,Features!A136:N278,14,FALSE)</f>
        <v>37809.35</v>
      </c>
      <c r="R136" s="23" t="str">
        <f>IF(Table2[[#This Row],[3_Week_Forecast]]&lt;Table2[[#This Row],[Weekly_Sales]], "Underforecast", "Overforecast")</f>
        <v>Underforecast</v>
      </c>
    </row>
    <row r="137" spans="1:18">
      <c r="A137" s="17">
        <v>1</v>
      </c>
      <c r="B137" s="18">
        <v>1</v>
      </c>
      <c r="C137" s="19">
        <v>41159</v>
      </c>
      <c r="D137" s="20">
        <v>18322.37</v>
      </c>
      <c r="E137" s="21" t="b">
        <v>1</v>
      </c>
      <c r="F137" s="22">
        <f>YEAR(Table2[[#This Row],[Date]])</f>
        <v>2012</v>
      </c>
      <c r="G137" s="22" t="str">
        <f>TEXT(Table2[[#This Row],[Date]],"mmm")</f>
        <v>Sep</v>
      </c>
      <c r="H137" s="22" t="str">
        <f>TEXT(Table2[[#This Row],[Date]],"yyyy-mm")</f>
        <v>2012-09</v>
      </c>
      <c r="I137" s="22">
        <f>WEEKNUM(Table2[[#This Row],[Date]])</f>
        <v>36</v>
      </c>
      <c r="J137" s="23">
        <f>Table2[[#This Row],[Weekly_Sales]]*2</f>
        <v>36644.74</v>
      </c>
      <c r="K137" s="28">
        <f t="shared" si="2"/>
        <v>16765.78</v>
      </c>
      <c r="L137" s="28">
        <f>Table2[[#This Row],[Weekly_Sales]]-Table2[[#This Row],[3_Week_Forecast]]</f>
        <v>1556.5900000000001</v>
      </c>
      <c r="M137" s="28">
        <f>ABS(Table2[[#This Row],[Forecast Error]]/Table2[[#This Row],[Weekly_Sales]])*100</f>
        <v>8.4955712607048124</v>
      </c>
      <c r="N137" s="23" t="str">
        <f>Table2[[#This Row],[Store]] &amp; "_" &amp; TEXT(Table2[[#This Row],[Date]],"yyyy-mm-dd")</f>
        <v>1_2012-09-07</v>
      </c>
      <c r="O137" s="23">
        <f>VLOOKUP($N137,Features!A137:N279,4,FALSE)</f>
        <v>83.96</v>
      </c>
      <c r="P137" s="27">
        <f>VLOOKUP($N137,Features!A137:N279,11,FALSE)</f>
        <v>222.43901529999999</v>
      </c>
      <c r="Q137" s="23">
        <f>VLOOKUP($N137,Features!A137:N279,14,FALSE)</f>
        <v>12148.85</v>
      </c>
      <c r="R137" s="23" t="str">
        <f>IF(Table2[[#This Row],[3_Week_Forecast]]&lt;Table2[[#This Row],[Weekly_Sales]], "Underforecast", "Overforecast")</f>
        <v>Underforecast</v>
      </c>
    </row>
    <row r="138" spans="1:18">
      <c r="A138" s="17">
        <v>1</v>
      </c>
      <c r="B138" s="18">
        <v>1</v>
      </c>
      <c r="C138" s="19">
        <v>41166</v>
      </c>
      <c r="D138" s="20">
        <v>19616.22</v>
      </c>
      <c r="E138" s="21" t="b">
        <v>0</v>
      </c>
      <c r="F138" s="22">
        <f>YEAR(Table2[[#This Row],[Date]])</f>
        <v>2012</v>
      </c>
      <c r="G138" s="22" t="str">
        <f>TEXT(Table2[[#This Row],[Date]],"mmm")</f>
        <v>Sep</v>
      </c>
      <c r="H138" s="22" t="str">
        <f>TEXT(Table2[[#This Row],[Date]],"yyyy-mm")</f>
        <v>2012-09</v>
      </c>
      <c r="I138" s="22">
        <f>WEEKNUM(Table2[[#This Row],[Date]])</f>
        <v>37</v>
      </c>
      <c r="J138" s="23">
        <f>Table2[[#This Row],[Weekly_Sales]]*2</f>
        <v>39232.44</v>
      </c>
      <c r="K138" s="28">
        <f t="shared" si="2"/>
        <v>17096.336666666666</v>
      </c>
      <c r="L138" s="28">
        <f>Table2[[#This Row],[Weekly_Sales]]-Table2[[#This Row],[3_Week_Forecast]]</f>
        <v>2519.883333333335</v>
      </c>
      <c r="M138" s="28">
        <f>ABS(Table2[[#This Row],[Forecast Error]]/Table2[[#This Row],[Weekly_Sales]])*100</f>
        <v>12.845916967353215</v>
      </c>
      <c r="N138" s="23" t="str">
        <f>Table2[[#This Row],[Store]] &amp; "_" &amp; TEXT(Table2[[#This Row],[Date]],"yyyy-mm-dd")</f>
        <v>1_2012-09-14</v>
      </c>
      <c r="O138" s="23">
        <f>VLOOKUP($N138,Features!A138:N280,4,FALSE)</f>
        <v>74.97</v>
      </c>
      <c r="P138" s="27">
        <f>VLOOKUP($N138,Features!A138:N280,11,FALSE)</f>
        <v>222.58201930000001</v>
      </c>
      <c r="Q138" s="23">
        <f>VLOOKUP($N138,Features!A138:N280,14,FALSE)</f>
        <v>26754.14</v>
      </c>
      <c r="R138" s="23" t="str">
        <f>IF(Table2[[#This Row],[3_Week_Forecast]]&lt;Table2[[#This Row],[Weekly_Sales]], "Underforecast", "Overforecast")</f>
        <v>Underforecast</v>
      </c>
    </row>
    <row r="139" spans="1:18">
      <c r="A139" s="17">
        <v>1</v>
      </c>
      <c r="B139" s="18">
        <v>1</v>
      </c>
      <c r="C139" s="19">
        <v>41173</v>
      </c>
      <c r="D139" s="20">
        <v>19251.5</v>
      </c>
      <c r="E139" s="21" t="b">
        <v>0</v>
      </c>
      <c r="F139" s="22">
        <f>YEAR(Table2[[#This Row],[Date]])</f>
        <v>2012</v>
      </c>
      <c r="G139" s="22" t="str">
        <f>TEXT(Table2[[#This Row],[Date]],"mmm")</f>
        <v>Sep</v>
      </c>
      <c r="H139" s="22" t="str">
        <f>TEXT(Table2[[#This Row],[Date]],"yyyy-mm")</f>
        <v>2012-09</v>
      </c>
      <c r="I139" s="22">
        <f>WEEKNUM(Table2[[#This Row],[Date]])</f>
        <v>38</v>
      </c>
      <c r="J139" s="23">
        <f>Table2[[#This Row],[Weekly_Sales]]*2</f>
        <v>38503</v>
      </c>
      <c r="K139" s="28">
        <f t="shared" si="2"/>
        <v>18206.276666666668</v>
      </c>
      <c r="L139" s="28">
        <f>Table2[[#This Row],[Weekly_Sales]]-Table2[[#This Row],[3_Week_Forecast]]</f>
        <v>1045.2233333333315</v>
      </c>
      <c r="M139" s="28">
        <f>ABS(Table2[[#This Row],[Forecast Error]]/Table2[[#This Row],[Weekly_Sales]])*100</f>
        <v>5.4293085387285744</v>
      </c>
      <c r="N139" s="23" t="str">
        <f>Table2[[#This Row],[Store]] &amp; "_" &amp; TEXT(Table2[[#This Row],[Date]],"yyyy-mm-dd")</f>
        <v>1_2012-09-21</v>
      </c>
      <c r="O139" s="23">
        <f>VLOOKUP($N139,Features!A139:N281,4,FALSE)</f>
        <v>69.87</v>
      </c>
      <c r="P139" s="27">
        <f>VLOOKUP($N139,Features!A139:N281,11,FALSE)</f>
        <v>222.78183859999999</v>
      </c>
      <c r="Q139" s="23">
        <f>VLOOKUP($N139,Features!A139:N281,14,FALSE)</f>
        <v>13831.4</v>
      </c>
      <c r="R139" s="23" t="str">
        <f>IF(Table2[[#This Row],[3_Week_Forecast]]&lt;Table2[[#This Row],[Weekly_Sales]], "Underforecast", "Overforecast")</f>
        <v>Underforecast</v>
      </c>
    </row>
    <row r="140" spans="1:18">
      <c r="A140" s="17">
        <v>1</v>
      </c>
      <c r="B140" s="18">
        <v>1</v>
      </c>
      <c r="C140" s="19">
        <v>41180</v>
      </c>
      <c r="D140" s="20">
        <v>18947.810000000001</v>
      </c>
      <c r="E140" s="21" t="b">
        <v>0</v>
      </c>
      <c r="F140" s="22">
        <f>YEAR(Table2[[#This Row],[Date]])</f>
        <v>2012</v>
      </c>
      <c r="G140" s="22" t="str">
        <f>TEXT(Table2[[#This Row],[Date]],"mmm")</f>
        <v>Sep</v>
      </c>
      <c r="H140" s="22" t="str">
        <f>TEXT(Table2[[#This Row],[Date]],"yyyy-mm")</f>
        <v>2012-09</v>
      </c>
      <c r="I140" s="22">
        <f>WEEKNUM(Table2[[#This Row],[Date]])</f>
        <v>39</v>
      </c>
      <c r="J140" s="23">
        <f>Table2[[#This Row],[Weekly_Sales]]*2</f>
        <v>37895.620000000003</v>
      </c>
      <c r="K140" s="28">
        <f t="shared" si="2"/>
        <v>19063.363333333331</v>
      </c>
      <c r="L140" s="28">
        <f>Table2[[#This Row],[Weekly_Sales]]-Table2[[#This Row],[3_Week_Forecast]]</f>
        <v>-115.55333333332965</v>
      </c>
      <c r="M140" s="28">
        <f>ABS(Table2[[#This Row],[Forecast Error]]/Table2[[#This Row],[Weekly_Sales]])*100</f>
        <v>0.6098506019077119</v>
      </c>
      <c r="N140" s="23" t="str">
        <f>Table2[[#This Row],[Store]] &amp; "_" &amp; TEXT(Table2[[#This Row],[Date]],"yyyy-mm-dd")</f>
        <v>1_2012-09-28</v>
      </c>
      <c r="O140" s="23">
        <f>VLOOKUP($N140,Features!A140:N282,4,FALSE)</f>
        <v>76.08</v>
      </c>
      <c r="P140" s="27">
        <f>VLOOKUP($N140,Features!A140:N282,11,FALSE)</f>
        <v>222.98165789999999</v>
      </c>
      <c r="Q140" s="23">
        <f>VLOOKUP($N140,Features!A140:N282,14,FALSE)</f>
        <v>9837.7999999999993</v>
      </c>
      <c r="R140" s="23" t="str">
        <f>IF(Table2[[#This Row],[3_Week_Forecast]]&lt;Table2[[#This Row],[Weekly_Sales]], "Underforecast", "Overforecast")</f>
        <v>Overforecast</v>
      </c>
    </row>
    <row r="141" spans="1:18">
      <c r="A141" s="17">
        <v>1</v>
      </c>
      <c r="B141" s="18">
        <v>1</v>
      </c>
      <c r="C141" s="19">
        <v>41187</v>
      </c>
      <c r="D141" s="20">
        <v>21904.47</v>
      </c>
      <c r="E141" s="21" t="b">
        <v>0</v>
      </c>
      <c r="F141" s="22">
        <f>YEAR(Table2[[#This Row],[Date]])</f>
        <v>2012</v>
      </c>
      <c r="G141" s="22" t="str">
        <f>TEXT(Table2[[#This Row],[Date]],"mmm")</f>
        <v>Oct</v>
      </c>
      <c r="H141" s="22" t="str">
        <f>TEXT(Table2[[#This Row],[Date]],"yyyy-mm")</f>
        <v>2012-10</v>
      </c>
      <c r="I141" s="22">
        <f>WEEKNUM(Table2[[#This Row],[Date]])</f>
        <v>40</v>
      </c>
      <c r="J141" s="23">
        <f>Table2[[#This Row],[Weekly_Sales]]*2</f>
        <v>43808.94</v>
      </c>
      <c r="K141" s="28">
        <f t="shared" si="2"/>
        <v>19271.843333333334</v>
      </c>
      <c r="L141" s="28">
        <f>Table2[[#This Row],[Weekly_Sales]]-Table2[[#This Row],[3_Week_Forecast]]</f>
        <v>2632.626666666667</v>
      </c>
      <c r="M141" s="28">
        <f>ABS(Table2[[#This Row],[Forecast Error]]/Table2[[#This Row],[Weekly_Sales]])*100</f>
        <v>12.018673205362498</v>
      </c>
      <c r="N141" s="23" t="str">
        <f>Table2[[#This Row],[Store]] &amp; "_" &amp; TEXT(Table2[[#This Row],[Date]],"yyyy-mm-dd")</f>
        <v>1_2012-10-05</v>
      </c>
      <c r="O141" s="23">
        <f>VLOOKUP($N141,Features!A141:N283,4,FALSE)</f>
        <v>68.55</v>
      </c>
      <c r="P141" s="27">
        <f>VLOOKUP($N141,Features!A141:N283,11,FALSE)</f>
        <v>223.18147719999999</v>
      </c>
      <c r="Q141" s="23">
        <f>VLOOKUP($N141,Features!A141:N283,14,FALSE)</f>
        <v>15339.68</v>
      </c>
      <c r="R141" s="23" t="str">
        <f>IF(Table2[[#This Row],[3_Week_Forecast]]&lt;Table2[[#This Row],[Weekly_Sales]], "Underforecast", "Overforecast")</f>
        <v>Underforecast</v>
      </c>
    </row>
    <row r="142" spans="1:18">
      <c r="A142" s="17">
        <v>1</v>
      </c>
      <c r="B142" s="18">
        <v>1</v>
      </c>
      <c r="C142" s="19">
        <v>41194</v>
      </c>
      <c r="D142" s="20">
        <v>22764.01</v>
      </c>
      <c r="E142" s="21" t="b">
        <v>0</v>
      </c>
      <c r="F142" s="22">
        <f>YEAR(Table2[[#This Row],[Date]])</f>
        <v>2012</v>
      </c>
      <c r="G142" s="22" t="str">
        <f>TEXT(Table2[[#This Row],[Date]],"mmm")</f>
        <v>Oct</v>
      </c>
      <c r="H142" s="22" t="str">
        <f>TEXT(Table2[[#This Row],[Date]],"yyyy-mm")</f>
        <v>2012-10</v>
      </c>
      <c r="I142" s="22">
        <f>WEEKNUM(Table2[[#This Row],[Date]])</f>
        <v>41</v>
      </c>
      <c r="J142" s="23">
        <f>Table2[[#This Row],[Weekly_Sales]]*2</f>
        <v>45528.02</v>
      </c>
      <c r="K142" s="28">
        <f t="shared" si="2"/>
        <v>20034.593333333334</v>
      </c>
      <c r="L142" s="28">
        <f>Table2[[#This Row],[Weekly_Sales]]-Table2[[#This Row],[3_Week_Forecast]]</f>
        <v>2729.4166666666642</v>
      </c>
      <c r="M142" s="28">
        <f>ABS(Table2[[#This Row],[Forecast Error]]/Table2[[#This Row],[Weekly_Sales]])*100</f>
        <v>11.990052133462708</v>
      </c>
      <c r="N142" s="23" t="str">
        <f>Table2[[#This Row],[Store]] &amp; "_" &amp; TEXT(Table2[[#This Row],[Date]],"yyyy-mm-dd")</f>
        <v>1_2012-10-12</v>
      </c>
      <c r="O142" s="23">
        <f>VLOOKUP($N142,Features!A142:N284,4,FALSE)</f>
        <v>62.99</v>
      </c>
      <c r="P142" s="27">
        <f>VLOOKUP($N142,Features!A142:N284,11,FALSE)</f>
        <v>223.38129649999999</v>
      </c>
      <c r="Q142" s="23">
        <f>VLOOKUP($N142,Features!A142:N284,14,FALSE)</f>
        <v>8623.1</v>
      </c>
      <c r="R142" s="23" t="str">
        <f>IF(Table2[[#This Row],[3_Week_Forecast]]&lt;Table2[[#This Row],[Weekly_Sales]], "Underforecast", "Overforecast")</f>
        <v>Underforecast</v>
      </c>
    </row>
    <row r="143" spans="1:18">
      <c r="A143" s="17">
        <v>1</v>
      </c>
      <c r="B143" s="18">
        <v>1</v>
      </c>
      <c r="C143" s="19">
        <v>41201</v>
      </c>
      <c r="D143" s="20">
        <v>24185.27</v>
      </c>
      <c r="E143" s="21" t="b">
        <v>0</v>
      </c>
      <c r="F143" s="22">
        <f>YEAR(Table2[[#This Row],[Date]])</f>
        <v>2012</v>
      </c>
      <c r="G143" s="22" t="str">
        <f>TEXT(Table2[[#This Row],[Date]],"mmm")</f>
        <v>Oct</v>
      </c>
      <c r="H143" s="22" t="str">
        <f>TEXT(Table2[[#This Row],[Date]],"yyyy-mm")</f>
        <v>2012-10</v>
      </c>
      <c r="I143" s="22">
        <f>WEEKNUM(Table2[[#This Row],[Date]])</f>
        <v>42</v>
      </c>
      <c r="J143" s="23">
        <f>Table2[[#This Row],[Weekly_Sales]]*2</f>
        <v>48370.54</v>
      </c>
      <c r="K143" s="28">
        <f t="shared" si="2"/>
        <v>21205.429999999997</v>
      </c>
      <c r="L143" s="28">
        <f>Table2[[#This Row],[Weekly_Sales]]-Table2[[#This Row],[3_Week_Forecast]]</f>
        <v>2979.8400000000038</v>
      </c>
      <c r="M143" s="28">
        <f>ABS(Table2[[#This Row],[Forecast Error]]/Table2[[#This Row],[Weekly_Sales]])*100</f>
        <v>12.320887879275293</v>
      </c>
      <c r="N143" s="23" t="str">
        <f>Table2[[#This Row],[Store]] &amp; "_" &amp; TEXT(Table2[[#This Row],[Date]],"yyyy-mm-dd")</f>
        <v>1_2012-10-19</v>
      </c>
      <c r="O143" s="23">
        <f>VLOOKUP($N143,Features!A143:N285,4,FALSE)</f>
        <v>67.97</v>
      </c>
      <c r="P143" s="27">
        <f>VLOOKUP($N143,Features!A143:N285,11,FALSE)</f>
        <v>223.42572329999999</v>
      </c>
      <c r="Q143" s="23">
        <f>VLOOKUP($N143,Features!A143:N285,14,FALSE)</f>
        <v>3348.36</v>
      </c>
      <c r="R143" s="23" t="str">
        <f>IF(Table2[[#This Row],[3_Week_Forecast]]&lt;Table2[[#This Row],[Weekly_Sales]], "Underforecast", "Overforecast")</f>
        <v>Underforecast</v>
      </c>
    </row>
    <row r="144" spans="1:18">
      <c r="A144" s="17">
        <v>1</v>
      </c>
      <c r="B144" s="18">
        <v>1</v>
      </c>
      <c r="C144" s="19">
        <v>41208</v>
      </c>
      <c r="D144" s="20">
        <v>27390.81</v>
      </c>
      <c r="E144" s="21" t="b">
        <v>0</v>
      </c>
      <c r="F144" s="22">
        <f>YEAR(Table2[[#This Row],[Date]])</f>
        <v>2012</v>
      </c>
      <c r="G144" s="22" t="str">
        <f>TEXT(Table2[[#This Row],[Date]],"mmm")</f>
        <v>Oct</v>
      </c>
      <c r="H144" s="22" t="str">
        <f>TEXT(Table2[[#This Row],[Date]],"yyyy-mm")</f>
        <v>2012-10</v>
      </c>
      <c r="I144" s="22">
        <f>WEEKNUM(Table2[[#This Row],[Date]])</f>
        <v>43</v>
      </c>
      <c r="J144" s="23">
        <f>Table2[[#This Row],[Weekly_Sales]]*2</f>
        <v>54781.62</v>
      </c>
      <c r="K144" s="28">
        <f t="shared" si="2"/>
        <v>22951.25</v>
      </c>
      <c r="L144" s="29">
        <f>Table2[[#This Row],[Weekly_Sales]]-Table2[[#This Row],[3_Week_Forecast]]</f>
        <v>4439.5600000000013</v>
      </c>
      <c r="M144" s="28">
        <f>ABS(Table2[[#This Row],[Forecast Error]]/Table2[[#This Row],[Weekly_Sales]])*100</f>
        <v>16.208209979916628</v>
      </c>
      <c r="N144" s="30" t="str">
        <f>Table2[[#This Row],[Store]] &amp; "_" &amp; TEXT(Table2[[#This Row],[Date]],"yyyy-mm-dd")</f>
        <v>1_2012-10-26</v>
      </c>
      <c r="O144" s="30">
        <f>VLOOKUP($N144,Features!A144:N286,4,FALSE)</f>
        <v>69.16</v>
      </c>
      <c r="P144" s="27">
        <f>VLOOKUP($N144,Features!A144:N286,11,FALSE)</f>
        <v>223.44425129999999</v>
      </c>
      <c r="Q144" s="30">
        <f>VLOOKUP($N144,Features!A144:N286,14,FALSE)</f>
        <v>4985.7700000000004</v>
      </c>
      <c r="R144" s="30" t="str">
        <f>IF(Table2[[#This Row],[3_Week_Forecast]]&lt;Table2[[#This Row],[Weekly_Sales]], "Underforecast", "Overforecast")</f>
        <v>Underforecast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3B01-A448-478C-A690-EA8A9A329BB5}">
  <dimension ref="A1:N144"/>
  <sheetViews>
    <sheetView workbookViewId="0">
      <selection activeCell="C149" sqref="C149"/>
    </sheetView>
  </sheetViews>
  <sheetFormatPr defaultRowHeight="15"/>
  <cols>
    <col min="1" max="1" width="15.7109375" customWidth="1"/>
    <col min="2" max="2" width="9.140625" style="3"/>
    <col min="3" max="3" width="19.7109375" style="15" bestFit="1" customWidth="1"/>
    <col min="4" max="11" width="9.140625" style="1"/>
    <col min="12" max="12" width="12.28515625" style="1" bestFit="1" customWidth="1"/>
    <col min="13" max="13" width="9.140625" style="2"/>
    <col min="14" max="14" width="13" style="1" bestFit="1" customWidth="1"/>
    <col min="15" max="15" width="13.85546875" bestFit="1" customWidth="1"/>
  </cols>
  <sheetData>
    <row r="1" spans="1:14">
      <c r="A1" s="43" t="s">
        <v>13</v>
      </c>
      <c r="B1" s="49" t="s">
        <v>0</v>
      </c>
      <c r="C1" s="41" t="s">
        <v>2</v>
      </c>
      <c r="D1" s="45" t="s">
        <v>14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15</v>
      </c>
      <c r="L1" s="45" t="s">
        <v>82</v>
      </c>
      <c r="M1" s="47" t="s">
        <v>4</v>
      </c>
      <c r="N1" s="45" t="s">
        <v>16</v>
      </c>
    </row>
    <row r="2" spans="1:14">
      <c r="A2" s="44" t="str">
        <f xml:space="preserve"> B2 &amp; "_" &amp; TEXT(C2,"yyyy-mm-dd")</f>
        <v>1_2010-02-05</v>
      </c>
      <c r="B2" s="50">
        <v>1</v>
      </c>
      <c r="C2" s="42">
        <v>40214</v>
      </c>
      <c r="D2" s="46">
        <v>42.31</v>
      </c>
      <c r="E2" s="46">
        <v>2.5720000000000001</v>
      </c>
      <c r="F2" s="46" t="s">
        <v>83</v>
      </c>
      <c r="G2" s="46" t="s">
        <v>83</v>
      </c>
      <c r="H2" s="46" t="s">
        <v>83</v>
      </c>
      <c r="I2" s="46" t="s">
        <v>83</v>
      </c>
      <c r="J2" s="46" t="s">
        <v>83</v>
      </c>
      <c r="K2" s="46">
        <v>211.0963582</v>
      </c>
      <c r="L2" s="46">
        <v>8.1059999999999999</v>
      </c>
      <c r="M2" s="48" t="b">
        <v>0</v>
      </c>
      <c r="N2" s="46">
        <v>0</v>
      </c>
    </row>
    <row r="3" spans="1:14">
      <c r="A3" s="44" t="str">
        <f t="shared" ref="A3:A66" si="0" xml:space="preserve"> B3 &amp; "_" &amp; TEXT(C3,"yyyy-mm-dd")</f>
        <v>1_2010-02-12</v>
      </c>
      <c r="B3" s="50">
        <v>1</v>
      </c>
      <c r="C3" s="42">
        <v>40221</v>
      </c>
      <c r="D3" s="46">
        <v>38.51</v>
      </c>
      <c r="E3" s="46">
        <v>2.548</v>
      </c>
      <c r="F3" s="46" t="s">
        <v>83</v>
      </c>
      <c r="G3" s="46" t="s">
        <v>83</v>
      </c>
      <c r="H3" s="46" t="s">
        <v>83</v>
      </c>
      <c r="I3" s="46" t="s">
        <v>83</v>
      </c>
      <c r="J3" s="46" t="s">
        <v>83</v>
      </c>
      <c r="K3" s="46">
        <v>211.2421698</v>
      </c>
      <c r="L3" s="46">
        <v>8.1059999999999999</v>
      </c>
      <c r="M3" s="48" t="b">
        <v>1</v>
      </c>
      <c r="N3" s="46">
        <v>0</v>
      </c>
    </row>
    <row r="4" spans="1:14">
      <c r="A4" s="44" t="str">
        <f t="shared" si="0"/>
        <v>1_2010-02-19</v>
      </c>
      <c r="B4" s="50">
        <v>1</v>
      </c>
      <c r="C4" s="42">
        <v>40228</v>
      </c>
      <c r="D4" s="46">
        <v>39.93</v>
      </c>
      <c r="E4" s="46">
        <v>2.5139999999999998</v>
      </c>
      <c r="F4" s="46" t="s">
        <v>83</v>
      </c>
      <c r="G4" s="46" t="s">
        <v>83</v>
      </c>
      <c r="H4" s="46" t="s">
        <v>83</v>
      </c>
      <c r="I4" s="46" t="s">
        <v>83</v>
      </c>
      <c r="J4" s="46" t="s">
        <v>83</v>
      </c>
      <c r="K4" s="46">
        <v>211.2891429</v>
      </c>
      <c r="L4" s="46">
        <v>8.1059999999999999</v>
      </c>
      <c r="M4" s="48" t="b">
        <v>0</v>
      </c>
      <c r="N4" s="46">
        <v>0</v>
      </c>
    </row>
    <row r="5" spans="1:14">
      <c r="A5" s="44" t="str">
        <f t="shared" si="0"/>
        <v>1_2010-02-26</v>
      </c>
      <c r="B5" s="50">
        <v>1</v>
      </c>
      <c r="C5" s="42">
        <v>40235</v>
      </c>
      <c r="D5" s="46">
        <v>46.63</v>
      </c>
      <c r="E5" s="46">
        <v>2.5609999999999999</v>
      </c>
      <c r="F5" s="46" t="s">
        <v>83</v>
      </c>
      <c r="G5" s="46" t="s">
        <v>83</v>
      </c>
      <c r="H5" s="46" t="s">
        <v>83</v>
      </c>
      <c r="I5" s="46" t="s">
        <v>83</v>
      </c>
      <c r="J5" s="46" t="s">
        <v>83</v>
      </c>
      <c r="K5" s="46">
        <v>211.31964289999999</v>
      </c>
      <c r="L5" s="46">
        <v>8.1059999999999999</v>
      </c>
      <c r="M5" s="48" t="b">
        <v>0</v>
      </c>
      <c r="N5" s="46">
        <v>0</v>
      </c>
    </row>
    <row r="6" spans="1:14">
      <c r="A6" s="44" t="str">
        <f t="shared" si="0"/>
        <v>1_2010-03-05</v>
      </c>
      <c r="B6" s="50">
        <v>1</v>
      </c>
      <c r="C6" s="42">
        <v>40242</v>
      </c>
      <c r="D6" s="46">
        <v>46.5</v>
      </c>
      <c r="E6" s="46">
        <v>2.625</v>
      </c>
      <c r="F6" s="46" t="s">
        <v>83</v>
      </c>
      <c r="G6" s="46" t="s">
        <v>83</v>
      </c>
      <c r="H6" s="46" t="s">
        <v>83</v>
      </c>
      <c r="I6" s="46" t="s">
        <v>83</v>
      </c>
      <c r="J6" s="46" t="s">
        <v>83</v>
      </c>
      <c r="K6" s="46">
        <v>211.35014290000001</v>
      </c>
      <c r="L6" s="46">
        <v>8.1059999999999999</v>
      </c>
      <c r="M6" s="48" t="b">
        <v>0</v>
      </c>
      <c r="N6" s="46">
        <v>0</v>
      </c>
    </row>
    <row r="7" spans="1:14">
      <c r="A7" s="44" t="str">
        <f t="shared" si="0"/>
        <v>1_2010-03-12</v>
      </c>
      <c r="B7" s="50">
        <v>1</v>
      </c>
      <c r="C7" s="42">
        <v>40249</v>
      </c>
      <c r="D7" s="46">
        <v>57.79</v>
      </c>
      <c r="E7" s="46">
        <v>2.6669999999999998</v>
      </c>
      <c r="F7" s="46" t="s">
        <v>83</v>
      </c>
      <c r="G7" s="46" t="s">
        <v>83</v>
      </c>
      <c r="H7" s="46" t="s">
        <v>83</v>
      </c>
      <c r="I7" s="46" t="s">
        <v>83</v>
      </c>
      <c r="J7" s="46" t="s">
        <v>83</v>
      </c>
      <c r="K7" s="46">
        <v>211.3806429</v>
      </c>
      <c r="L7" s="46">
        <v>8.1059999999999999</v>
      </c>
      <c r="M7" s="48" t="b">
        <v>0</v>
      </c>
      <c r="N7" s="46">
        <v>0</v>
      </c>
    </row>
    <row r="8" spans="1:14">
      <c r="A8" s="44" t="str">
        <f t="shared" si="0"/>
        <v>1_2010-03-19</v>
      </c>
      <c r="B8" s="50">
        <v>1</v>
      </c>
      <c r="C8" s="42">
        <v>40256</v>
      </c>
      <c r="D8" s="46">
        <v>54.58</v>
      </c>
      <c r="E8" s="46">
        <v>2.72</v>
      </c>
      <c r="F8" s="46" t="s">
        <v>83</v>
      </c>
      <c r="G8" s="46" t="s">
        <v>83</v>
      </c>
      <c r="H8" s="46" t="s">
        <v>83</v>
      </c>
      <c r="I8" s="46" t="s">
        <v>83</v>
      </c>
      <c r="J8" s="46" t="s">
        <v>83</v>
      </c>
      <c r="K8" s="46">
        <v>211.21563499999999</v>
      </c>
      <c r="L8" s="46">
        <v>8.1059999999999999</v>
      </c>
      <c r="M8" s="48" t="b">
        <v>0</v>
      </c>
      <c r="N8" s="46">
        <v>0</v>
      </c>
    </row>
    <row r="9" spans="1:14">
      <c r="A9" s="44" t="str">
        <f t="shared" si="0"/>
        <v>1_2010-03-26</v>
      </c>
      <c r="B9" s="50">
        <v>1</v>
      </c>
      <c r="C9" s="42">
        <v>40263</v>
      </c>
      <c r="D9" s="46">
        <v>51.45</v>
      </c>
      <c r="E9" s="46">
        <v>2.7320000000000002</v>
      </c>
      <c r="F9" s="46" t="s">
        <v>83</v>
      </c>
      <c r="G9" s="46" t="s">
        <v>83</v>
      </c>
      <c r="H9" s="46" t="s">
        <v>83</v>
      </c>
      <c r="I9" s="46" t="s">
        <v>83</v>
      </c>
      <c r="J9" s="46" t="s">
        <v>83</v>
      </c>
      <c r="K9" s="46">
        <v>211.01804240000001</v>
      </c>
      <c r="L9" s="46">
        <v>8.1059999999999999</v>
      </c>
      <c r="M9" s="48" t="b">
        <v>0</v>
      </c>
      <c r="N9" s="46">
        <v>0</v>
      </c>
    </row>
    <row r="10" spans="1:14">
      <c r="A10" s="44" t="str">
        <f t="shared" si="0"/>
        <v>1_2010-04-02</v>
      </c>
      <c r="B10" s="50">
        <v>1</v>
      </c>
      <c r="C10" s="42">
        <v>40270</v>
      </c>
      <c r="D10" s="46">
        <v>62.27</v>
      </c>
      <c r="E10" s="46">
        <v>2.7189999999999999</v>
      </c>
      <c r="F10" s="46" t="s">
        <v>83</v>
      </c>
      <c r="G10" s="46" t="s">
        <v>83</v>
      </c>
      <c r="H10" s="46" t="s">
        <v>83</v>
      </c>
      <c r="I10" s="46" t="s">
        <v>83</v>
      </c>
      <c r="J10" s="46" t="s">
        <v>83</v>
      </c>
      <c r="K10" s="46">
        <v>210.8204499</v>
      </c>
      <c r="L10" s="46">
        <v>7.8079999999999998</v>
      </c>
      <c r="M10" s="48" t="b">
        <v>0</v>
      </c>
      <c r="N10" s="46">
        <v>0</v>
      </c>
    </row>
    <row r="11" spans="1:14">
      <c r="A11" s="44" t="str">
        <f t="shared" si="0"/>
        <v>1_2010-04-09</v>
      </c>
      <c r="B11" s="50">
        <v>1</v>
      </c>
      <c r="C11" s="42">
        <v>40277</v>
      </c>
      <c r="D11" s="46">
        <v>65.86</v>
      </c>
      <c r="E11" s="46">
        <v>2.77</v>
      </c>
      <c r="F11" s="46" t="s">
        <v>83</v>
      </c>
      <c r="G11" s="46" t="s">
        <v>83</v>
      </c>
      <c r="H11" s="46" t="s">
        <v>83</v>
      </c>
      <c r="I11" s="46" t="s">
        <v>83</v>
      </c>
      <c r="J11" s="46" t="s">
        <v>83</v>
      </c>
      <c r="K11" s="46">
        <v>210.62285739999999</v>
      </c>
      <c r="L11" s="46">
        <v>7.8079999999999998</v>
      </c>
      <c r="M11" s="48" t="b">
        <v>0</v>
      </c>
      <c r="N11" s="46">
        <v>0</v>
      </c>
    </row>
    <row r="12" spans="1:14">
      <c r="A12" s="44" t="str">
        <f t="shared" si="0"/>
        <v>1_2010-04-16</v>
      </c>
      <c r="B12" s="50">
        <v>1</v>
      </c>
      <c r="C12" s="42">
        <v>40284</v>
      </c>
      <c r="D12" s="46">
        <v>66.319999999999993</v>
      </c>
      <c r="E12" s="46">
        <v>2.8079999999999998</v>
      </c>
      <c r="F12" s="46" t="s">
        <v>83</v>
      </c>
      <c r="G12" s="46" t="s">
        <v>83</v>
      </c>
      <c r="H12" s="46" t="s">
        <v>83</v>
      </c>
      <c r="I12" s="46" t="s">
        <v>83</v>
      </c>
      <c r="J12" s="46" t="s">
        <v>83</v>
      </c>
      <c r="K12" s="46">
        <v>210.48869999999999</v>
      </c>
      <c r="L12" s="46">
        <v>7.8079999999999998</v>
      </c>
      <c r="M12" s="48" t="b">
        <v>0</v>
      </c>
      <c r="N12" s="46">
        <v>0</v>
      </c>
    </row>
    <row r="13" spans="1:14">
      <c r="A13" s="44" t="str">
        <f t="shared" si="0"/>
        <v>1_2010-04-23</v>
      </c>
      <c r="B13" s="50">
        <v>1</v>
      </c>
      <c r="C13" s="42">
        <v>40291</v>
      </c>
      <c r="D13" s="46">
        <v>64.84</v>
      </c>
      <c r="E13" s="46">
        <v>2.7949999999999999</v>
      </c>
      <c r="F13" s="46" t="s">
        <v>83</v>
      </c>
      <c r="G13" s="46" t="s">
        <v>83</v>
      </c>
      <c r="H13" s="46" t="s">
        <v>83</v>
      </c>
      <c r="I13" s="46" t="s">
        <v>83</v>
      </c>
      <c r="J13" s="46" t="s">
        <v>83</v>
      </c>
      <c r="K13" s="46">
        <v>210.43912280000001</v>
      </c>
      <c r="L13" s="46">
        <v>7.8079999999999998</v>
      </c>
      <c r="M13" s="48" t="b">
        <v>0</v>
      </c>
      <c r="N13" s="46">
        <v>0</v>
      </c>
    </row>
    <row r="14" spans="1:14">
      <c r="A14" s="44" t="str">
        <f t="shared" si="0"/>
        <v>1_2010-04-30</v>
      </c>
      <c r="B14" s="50">
        <v>1</v>
      </c>
      <c r="C14" s="42">
        <v>40298</v>
      </c>
      <c r="D14" s="46">
        <v>67.41</v>
      </c>
      <c r="E14" s="46">
        <v>2.78</v>
      </c>
      <c r="F14" s="46" t="s">
        <v>83</v>
      </c>
      <c r="G14" s="46" t="s">
        <v>83</v>
      </c>
      <c r="H14" s="46" t="s">
        <v>83</v>
      </c>
      <c r="I14" s="46" t="s">
        <v>83</v>
      </c>
      <c r="J14" s="46" t="s">
        <v>83</v>
      </c>
      <c r="K14" s="46">
        <v>210.38954559999999</v>
      </c>
      <c r="L14" s="46">
        <v>7.8079999999999998</v>
      </c>
      <c r="M14" s="48" t="b">
        <v>0</v>
      </c>
      <c r="N14" s="46">
        <v>0</v>
      </c>
    </row>
    <row r="15" spans="1:14">
      <c r="A15" s="44" t="str">
        <f t="shared" si="0"/>
        <v>1_2010-05-07</v>
      </c>
      <c r="B15" s="50">
        <v>1</v>
      </c>
      <c r="C15" s="42">
        <v>40305</v>
      </c>
      <c r="D15" s="46">
        <v>72.55</v>
      </c>
      <c r="E15" s="46">
        <v>2.835</v>
      </c>
      <c r="F15" s="46" t="s">
        <v>83</v>
      </c>
      <c r="G15" s="46" t="s">
        <v>83</v>
      </c>
      <c r="H15" s="46" t="s">
        <v>83</v>
      </c>
      <c r="I15" s="46" t="s">
        <v>83</v>
      </c>
      <c r="J15" s="46" t="s">
        <v>83</v>
      </c>
      <c r="K15" s="46">
        <v>210.3399684</v>
      </c>
      <c r="L15" s="46">
        <v>7.8079999999999998</v>
      </c>
      <c r="M15" s="48" t="b">
        <v>0</v>
      </c>
      <c r="N15" s="46">
        <v>0</v>
      </c>
    </row>
    <row r="16" spans="1:14">
      <c r="A16" s="44" t="str">
        <f t="shared" si="0"/>
        <v>1_2010-05-14</v>
      </c>
      <c r="B16" s="50">
        <v>1</v>
      </c>
      <c r="C16" s="42">
        <v>40312</v>
      </c>
      <c r="D16" s="46">
        <v>74.78</v>
      </c>
      <c r="E16" s="46">
        <v>2.8540000000000001</v>
      </c>
      <c r="F16" s="46" t="s">
        <v>83</v>
      </c>
      <c r="G16" s="46" t="s">
        <v>83</v>
      </c>
      <c r="H16" s="46" t="s">
        <v>83</v>
      </c>
      <c r="I16" s="46" t="s">
        <v>83</v>
      </c>
      <c r="J16" s="46" t="s">
        <v>83</v>
      </c>
      <c r="K16" s="46">
        <v>210.33742609999999</v>
      </c>
      <c r="L16" s="46">
        <v>7.8079999999999998</v>
      </c>
      <c r="M16" s="48" t="b">
        <v>0</v>
      </c>
      <c r="N16" s="46">
        <v>0</v>
      </c>
    </row>
    <row r="17" spans="1:14">
      <c r="A17" s="44" t="str">
        <f t="shared" si="0"/>
        <v>1_2010-05-21</v>
      </c>
      <c r="B17" s="50">
        <v>1</v>
      </c>
      <c r="C17" s="42">
        <v>40319</v>
      </c>
      <c r="D17" s="46">
        <v>76.44</v>
      </c>
      <c r="E17" s="46">
        <v>2.8260000000000001</v>
      </c>
      <c r="F17" s="46" t="s">
        <v>83</v>
      </c>
      <c r="G17" s="46" t="s">
        <v>83</v>
      </c>
      <c r="H17" s="46" t="s">
        <v>83</v>
      </c>
      <c r="I17" s="46" t="s">
        <v>83</v>
      </c>
      <c r="J17" s="46" t="s">
        <v>83</v>
      </c>
      <c r="K17" s="46">
        <v>210.61709339999999</v>
      </c>
      <c r="L17" s="46">
        <v>7.8079999999999998</v>
      </c>
      <c r="M17" s="48" t="b">
        <v>0</v>
      </c>
      <c r="N17" s="46">
        <v>0</v>
      </c>
    </row>
    <row r="18" spans="1:14">
      <c r="A18" s="44" t="str">
        <f t="shared" si="0"/>
        <v>1_2010-05-28</v>
      </c>
      <c r="B18" s="50">
        <v>1</v>
      </c>
      <c r="C18" s="42">
        <v>40326</v>
      </c>
      <c r="D18" s="46">
        <v>80.44</v>
      </c>
      <c r="E18" s="46">
        <v>2.7589999999999999</v>
      </c>
      <c r="F18" s="46" t="s">
        <v>83</v>
      </c>
      <c r="G18" s="46" t="s">
        <v>83</v>
      </c>
      <c r="H18" s="46" t="s">
        <v>83</v>
      </c>
      <c r="I18" s="46" t="s">
        <v>83</v>
      </c>
      <c r="J18" s="46" t="s">
        <v>83</v>
      </c>
      <c r="K18" s="46">
        <v>210.89676059999999</v>
      </c>
      <c r="L18" s="46">
        <v>7.8079999999999998</v>
      </c>
      <c r="M18" s="48" t="b">
        <v>0</v>
      </c>
      <c r="N18" s="46">
        <v>0</v>
      </c>
    </row>
    <row r="19" spans="1:14">
      <c r="A19" s="44" t="str">
        <f t="shared" si="0"/>
        <v>1_2010-06-04</v>
      </c>
      <c r="B19" s="50">
        <v>1</v>
      </c>
      <c r="C19" s="42">
        <v>40333</v>
      </c>
      <c r="D19" s="46">
        <v>80.69</v>
      </c>
      <c r="E19" s="46">
        <v>2.7050000000000001</v>
      </c>
      <c r="F19" s="46" t="s">
        <v>83</v>
      </c>
      <c r="G19" s="46" t="s">
        <v>83</v>
      </c>
      <c r="H19" s="46" t="s">
        <v>83</v>
      </c>
      <c r="I19" s="46" t="s">
        <v>83</v>
      </c>
      <c r="J19" s="46" t="s">
        <v>83</v>
      </c>
      <c r="K19" s="46">
        <v>211.1764278</v>
      </c>
      <c r="L19" s="46">
        <v>7.8079999999999998</v>
      </c>
      <c r="M19" s="48" t="b">
        <v>0</v>
      </c>
      <c r="N19" s="46">
        <v>0</v>
      </c>
    </row>
    <row r="20" spans="1:14">
      <c r="A20" s="44" t="str">
        <f t="shared" si="0"/>
        <v>1_2010-06-11</v>
      </c>
      <c r="B20" s="50">
        <v>1</v>
      </c>
      <c r="C20" s="42">
        <v>40340</v>
      </c>
      <c r="D20" s="46">
        <v>80.430000000000007</v>
      </c>
      <c r="E20" s="46">
        <v>2.6680000000000001</v>
      </c>
      <c r="F20" s="46" t="s">
        <v>83</v>
      </c>
      <c r="G20" s="46" t="s">
        <v>83</v>
      </c>
      <c r="H20" s="46" t="s">
        <v>83</v>
      </c>
      <c r="I20" s="46" t="s">
        <v>83</v>
      </c>
      <c r="J20" s="46" t="s">
        <v>83</v>
      </c>
      <c r="K20" s="46">
        <v>211.4560951</v>
      </c>
      <c r="L20" s="46">
        <v>7.8079999999999998</v>
      </c>
      <c r="M20" s="48" t="b">
        <v>0</v>
      </c>
      <c r="N20" s="46">
        <v>0</v>
      </c>
    </row>
    <row r="21" spans="1:14">
      <c r="A21" s="44" t="str">
        <f t="shared" si="0"/>
        <v>1_2010-06-18</v>
      </c>
      <c r="B21" s="50">
        <v>1</v>
      </c>
      <c r="C21" s="42">
        <v>40347</v>
      </c>
      <c r="D21" s="46">
        <v>84.11</v>
      </c>
      <c r="E21" s="46">
        <v>2.637</v>
      </c>
      <c r="F21" s="46" t="s">
        <v>83</v>
      </c>
      <c r="G21" s="46" t="s">
        <v>83</v>
      </c>
      <c r="H21" s="46" t="s">
        <v>83</v>
      </c>
      <c r="I21" s="46" t="s">
        <v>83</v>
      </c>
      <c r="J21" s="46" t="s">
        <v>83</v>
      </c>
      <c r="K21" s="46">
        <v>211.45377189999999</v>
      </c>
      <c r="L21" s="46">
        <v>7.8079999999999998</v>
      </c>
      <c r="M21" s="48" t="b">
        <v>0</v>
      </c>
      <c r="N21" s="46">
        <v>0</v>
      </c>
    </row>
    <row r="22" spans="1:14">
      <c r="A22" s="44" t="str">
        <f t="shared" si="0"/>
        <v>1_2010-06-25</v>
      </c>
      <c r="B22" s="50">
        <v>1</v>
      </c>
      <c r="C22" s="42">
        <v>40354</v>
      </c>
      <c r="D22" s="46">
        <v>84.34</v>
      </c>
      <c r="E22" s="46">
        <v>2.653</v>
      </c>
      <c r="F22" s="46" t="s">
        <v>83</v>
      </c>
      <c r="G22" s="46" t="s">
        <v>83</v>
      </c>
      <c r="H22" s="46" t="s">
        <v>83</v>
      </c>
      <c r="I22" s="46" t="s">
        <v>83</v>
      </c>
      <c r="J22" s="46" t="s">
        <v>83</v>
      </c>
      <c r="K22" s="46">
        <v>211.33865259999999</v>
      </c>
      <c r="L22" s="46">
        <v>7.8079999999999998</v>
      </c>
      <c r="M22" s="48" t="b">
        <v>0</v>
      </c>
      <c r="N22" s="46">
        <v>0</v>
      </c>
    </row>
    <row r="23" spans="1:14">
      <c r="A23" s="44" t="str">
        <f t="shared" si="0"/>
        <v>1_2010-07-02</v>
      </c>
      <c r="B23" s="50">
        <v>1</v>
      </c>
      <c r="C23" s="42">
        <v>40361</v>
      </c>
      <c r="D23" s="46">
        <v>80.91</v>
      </c>
      <c r="E23" s="46">
        <v>2.669</v>
      </c>
      <c r="F23" s="46" t="s">
        <v>83</v>
      </c>
      <c r="G23" s="46" t="s">
        <v>83</v>
      </c>
      <c r="H23" s="46" t="s">
        <v>83</v>
      </c>
      <c r="I23" s="46" t="s">
        <v>83</v>
      </c>
      <c r="J23" s="46" t="s">
        <v>83</v>
      </c>
      <c r="K23" s="46">
        <v>211.22353330000001</v>
      </c>
      <c r="L23" s="46">
        <v>7.7869999999999999</v>
      </c>
      <c r="M23" s="48" t="b">
        <v>0</v>
      </c>
      <c r="N23" s="46">
        <v>0</v>
      </c>
    </row>
    <row r="24" spans="1:14">
      <c r="A24" s="44" t="str">
        <f t="shared" si="0"/>
        <v>1_2010-07-09</v>
      </c>
      <c r="B24" s="50">
        <v>1</v>
      </c>
      <c r="C24" s="42">
        <v>40368</v>
      </c>
      <c r="D24" s="46">
        <v>80.48</v>
      </c>
      <c r="E24" s="46">
        <v>2.6419999999999999</v>
      </c>
      <c r="F24" s="46" t="s">
        <v>83</v>
      </c>
      <c r="G24" s="46" t="s">
        <v>83</v>
      </c>
      <c r="H24" s="46" t="s">
        <v>83</v>
      </c>
      <c r="I24" s="46" t="s">
        <v>83</v>
      </c>
      <c r="J24" s="46" t="s">
        <v>83</v>
      </c>
      <c r="K24" s="46">
        <v>211.10841400000001</v>
      </c>
      <c r="L24" s="46">
        <v>7.7869999999999999</v>
      </c>
      <c r="M24" s="48" t="b">
        <v>0</v>
      </c>
      <c r="N24" s="46">
        <v>0</v>
      </c>
    </row>
    <row r="25" spans="1:14">
      <c r="A25" s="44" t="str">
        <f t="shared" si="0"/>
        <v>1_2010-07-16</v>
      </c>
      <c r="B25" s="50">
        <v>1</v>
      </c>
      <c r="C25" s="42">
        <v>40375</v>
      </c>
      <c r="D25" s="46">
        <v>83.15</v>
      </c>
      <c r="E25" s="46">
        <v>2.6230000000000002</v>
      </c>
      <c r="F25" s="46" t="s">
        <v>83</v>
      </c>
      <c r="G25" s="46" t="s">
        <v>83</v>
      </c>
      <c r="H25" s="46" t="s">
        <v>83</v>
      </c>
      <c r="I25" s="46" t="s">
        <v>83</v>
      </c>
      <c r="J25" s="46" t="s">
        <v>83</v>
      </c>
      <c r="K25" s="46">
        <v>211.10038539999999</v>
      </c>
      <c r="L25" s="46">
        <v>7.7869999999999999</v>
      </c>
      <c r="M25" s="48" t="b">
        <v>0</v>
      </c>
      <c r="N25" s="46">
        <v>0</v>
      </c>
    </row>
    <row r="26" spans="1:14">
      <c r="A26" s="44" t="str">
        <f t="shared" si="0"/>
        <v>1_2010-07-23</v>
      </c>
      <c r="B26" s="50">
        <v>1</v>
      </c>
      <c r="C26" s="42">
        <v>40382</v>
      </c>
      <c r="D26" s="46">
        <v>83.36</v>
      </c>
      <c r="E26" s="46">
        <v>2.6080000000000001</v>
      </c>
      <c r="F26" s="46" t="s">
        <v>83</v>
      </c>
      <c r="G26" s="46" t="s">
        <v>83</v>
      </c>
      <c r="H26" s="46" t="s">
        <v>83</v>
      </c>
      <c r="I26" s="46" t="s">
        <v>83</v>
      </c>
      <c r="J26" s="46" t="s">
        <v>83</v>
      </c>
      <c r="K26" s="46">
        <v>211.2351443</v>
      </c>
      <c r="L26" s="46">
        <v>7.7869999999999999</v>
      </c>
      <c r="M26" s="48" t="b">
        <v>0</v>
      </c>
      <c r="N26" s="46">
        <v>0</v>
      </c>
    </row>
    <row r="27" spans="1:14">
      <c r="A27" s="44" t="str">
        <f t="shared" si="0"/>
        <v>1_2010-07-30</v>
      </c>
      <c r="B27" s="50">
        <v>1</v>
      </c>
      <c r="C27" s="42">
        <v>40389</v>
      </c>
      <c r="D27" s="46">
        <v>81.84</v>
      </c>
      <c r="E27" s="46">
        <v>2.64</v>
      </c>
      <c r="F27" s="46" t="s">
        <v>83</v>
      </c>
      <c r="G27" s="46" t="s">
        <v>83</v>
      </c>
      <c r="H27" s="46" t="s">
        <v>83</v>
      </c>
      <c r="I27" s="46" t="s">
        <v>83</v>
      </c>
      <c r="J27" s="46" t="s">
        <v>83</v>
      </c>
      <c r="K27" s="46">
        <v>211.36990320000001</v>
      </c>
      <c r="L27" s="46">
        <v>7.7869999999999999</v>
      </c>
      <c r="M27" s="48" t="b">
        <v>0</v>
      </c>
      <c r="N27" s="46">
        <v>0</v>
      </c>
    </row>
    <row r="28" spans="1:14">
      <c r="A28" s="44" t="str">
        <f t="shared" si="0"/>
        <v>1_2010-08-06</v>
      </c>
      <c r="B28" s="50">
        <v>1</v>
      </c>
      <c r="C28" s="42">
        <v>40396</v>
      </c>
      <c r="D28" s="46">
        <v>87.16</v>
      </c>
      <c r="E28" s="46">
        <v>2.6269999999999998</v>
      </c>
      <c r="F28" s="46" t="s">
        <v>83</v>
      </c>
      <c r="G28" s="46" t="s">
        <v>83</v>
      </c>
      <c r="H28" s="46" t="s">
        <v>83</v>
      </c>
      <c r="I28" s="46" t="s">
        <v>83</v>
      </c>
      <c r="J28" s="46" t="s">
        <v>83</v>
      </c>
      <c r="K28" s="46">
        <v>211.50466209999999</v>
      </c>
      <c r="L28" s="46">
        <v>7.7869999999999999</v>
      </c>
      <c r="M28" s="48" t="b">
        <v>0</v>
      </c>
      <c r="N28" s="46">
        <v>0</v>
      </c>
    </row>
    <row r="29" spans="1:14">
      <c r="A29" s="44" t="str">
        <f t="shared" si="0"/>
        <v>1_2010-08-13</v>
      </c>
      <c r="B29" s="50">
        <v>1</v>
      </c>
      <c r="C29" s="42">
        <v>40403</v>
      </c>
      <c r="D29" s="46">
        <v>87</v>
      </c>
      <c r="E29" s="46">
        <v>2.6920000000000002</v>
      </c>
      <c r="F29" s="46" t="s">
        <v>83</v>
      </c>
      <c r="G29" s="46" t="s">
        <v>83</v>
      </c>
      <c r="H29" s="46" t="s">
        <v>83</v>
      </c>
      <c r="I29" s="46" t="s">
        <v>83</v>
      </c>
      <c r="J29" s="46" t="s">
        <v>83</v>
      </c>
      <c r="K29" s="46">
        <v>211.63942109999999</v>
      </c>
      <c r="L29" s="46">
        <v>7.7869999999999999</v>
      </c>
      <c r="M29" s="48" t="b">
        <v>0</v>
      </c>
      <c r="N29" s="46">
        <v>0</v>
      </c>
    </row>
    <row r="30" spans="1:14">
      <c r="A30" s="44" t="str">
        <f t="shared" si="0"/>
        <v>1_2010-08-20</v>
      </c>
      <c r="B30" s="50">
        <v>1</v>
      </c>
      <c r="C30" s="42">
        <v>40410</v>
      </c>
      <c r="D30" s="46">
        <v>86.65</v>
      </c>
      <c r="E30" s="46">
        <v>2.6640000000000001</v>
      </c>
      <c r="F30" s="46" t="s">
        <v>83</v>
      </c>
      <c r="G30" s="46" t="s">
        <v>83</v>
      </c>
      <c r="H30" s="46" t="s">
        <v>83</v>
      </c>
      <c r="I30" s="46" t="s">
        <v>83</v>
      </c>
      <c r="J30" s="46" t="s">
        <v>83</v>
      </c>
      <c r="K30" s="46">
        <v>211.60336330000001</v>
      </c>
      <c r="L30" s="46">
        <v>7.7869999999999999</v>
      </c>
      <c r="M30" s="48" t="b">
        <v>0</v>
      </c>
      <c r="N30" s="46">
        <v>0</v>
      </c>
    </row>
    <row r="31" spans="1:14">
      <c r="A31" s="44" t="str">
        <f t="shared" si="0"/>
        <v>1_2010-08-27</v>
      </c>
      <c r="B31" s="50">
        <v>1</v>
      </c>
      <c r="C31" s="42">
        <v>40417</v>
      </c>
      <c r="D31" s="46">
        <v>85.22</v>
      </c>
      <c r="E31" s="46">
        <v>2.6190000000000002</v>
      </c>
      <c r="F31" s="46" t="s">
        <v>83</v>
      </c>
      <c r="G31" s="46" t="s">
        <v>83</v>
      </c>
      <c r="H31" s="46" t="s">
        <v>83</v>
      </c>
      <c r="I31" s="46" t="s">
        <v>83</v>
      </c>
      <c r="J31" s="46" t="s">
        <v>83</v>
      </c>
      <c r="K31" s="46">
        <v>211.5673056</v>
      </c>
      <c r="L31" s="46">
        <v>7.7869999999999999</v>
      </c>
      <c r="M31" s="48" t="b">
        <v>0</v>
      </c>
      <c r="N31" s="46">
        <v>0</v>
      </c>
    </row>
    <row r="32" spans="1:14">
      <c r="A32" s="44" t="str">
        <f t="shared" si="0"/>
        <v>1_2010-09-03</v>
      </c>
      <c r="B32" s="50">
        <v>1</v>
      </c>
      <c r="C32" s="42">
        <v>40424</v>
      </c>
      <c r="D32" s="46">
        <v>81.209999999999994</v>
      </c>
      <c r="E32" s="46">
        <v>2.577</v>
      </c>
      <c r="F32" s="46" t="s">
        <v>83</v>
      </c>
      <c r="G32" s="46" t="s">
        <v>83</v>
      </c>
      <c r="H32" s="46" t="s">
        <v>83</v>
      </c>
      <c r="I32" s="46" t="s">
        <v>83</v>
      </c>
      <c r="J32" s="46" t="s">
        <v>83</v>
      </c>
      <c r="K32" s="46">
        <v>211.53124790000001</v>
      </c>
      <c r="L32" s="46">
        <v>7.7869999999999999</v>
      </c>
      <c r="M32" s="48" t="b">
        <v>0</v>
      </c>
      <c r="N32" s="46">
        <v>0</v>
      </c>
    </row>
    <row r="33" spans="1:14">
      <c r="A33" s="44" t="str">
        <f t="shared" si="0"/>
        <v>1_2010-09-10</v>
      </c>
      <c r="B33" s="50">
        <v>1</v>
      </c>
      <c r="C33" s="42">
        <v>40431</v>
      </c>
      <c r="D33" s="46">
        <v>78.69</v>
      </c>
      <c r="E33" s="46">
        <v>2.5649999999999999</v>
      </c>
      <c r="F33" s="46" t="s">
        <v>83</v>
      </c>
      <c r="G33" s="46" t="s">
        <v>83</v>
      </c>
      <c r="H33" s="46" t="s">
        <v>83</v>
      </c>
      <c r="I33" s="46" t="s">
        <v>83</v>
      </c>
      <c r="J33" s="46" t="s">
        <v>83</v>
      </c>
      <c r="K33" s="46">
        <v>211.4951902</v>
      </c>
      <c r="L33" s="46">
        <v>7.7869999999999999</v>
      </c>
      <c r="M33" s="48" t="b">
        <v>1</v>
      </c>
      <c r="N33" s="46">
        <v>0</v>
      </c>
    </row>
    <row r="34" spans="1:14">
      <c r="A34" s="44" t="str">
        <f t="shared" si="0"/>
        <v>1_2010-09-17</v>
      </c>
      <c r="B34" s="50">
        <v>1</v>
      </c>
      <c r="C34" s="42">
        <v>40438</v>
      </c>
      <c r="D34" s="46">
        <v>82.11</v>
      </c>
      <c r="E34" s="46">
        <v>2.5819999999999999</v>
      </c>
      <c r="F34" s="46" t="s">
        <v>83</v>
      </c>
      <c r="G34" s="46" t="s">
        <v>83</v>
      </c>
      <c r="H34" s="46" t="s">
        <v>83</v>
      </c>
      <c r="I34" s="46" t="s">
        <v>83</v>
      </c>
      <c r="J34" s="46" t="s">
        <v>83</v>
      </c>
      <c r="K34" s="46">
        <v>211.52245959999999</v>
      </c>
      <c r="L34" s="46">
        <v>7.7869999999999999</v>
      </c>
      <c r="M34" s="48" t="b">
        <v>0</v>
      </c>
      <c r="N34" s="46">
        <v>0</v>
      </c>
    </row>
    <row r="35" spans="1:14">
      <c r="A35" s="44" t="str">
        <f t="shared" si="0"/>
        <v>1_2010-09-24</v>
      </c>
      <c r="B35" s="50">
        <v>1</v>
      </c>
      <c r="C35" s="42">
        <v>40445</v>
      </c>
      <c r="D35" s="46">
        <v>80.94</v>
      </c>
      <c r="E35" s="46">
        <v>2.6240000000000001</v>
      </c>
      <c r="F35" s="46" t="s">
        <v>83</v>
      </c>
      <c r="G35" s="46" t="s">
        <v>83</v>
      </c>
      <c r="H35" s="46" t="s">
        <v>83</v>
      </c>
      <c r="I35" s="46" t="s">
        <v>83</v>
      </c>
      <c r="J35" s="46" t="s">
        <v>83</v>
      </c>
      <c r="K35" s="46">
        <v>211.5972246</v>
      </c>
      <c r="L35" s="46">
        <v>7.7869999999999999</v>
      </c>
      <c r="M35" s="48" t="b">
        <v>0</v>
      </c>
      <c r="N35" s="46">
        <v>0</v>
      </c>
    </row>
    <row r="36" spans="1:14">
      <c r="A36" s="44" t="str">
        <f t="shared" si="0"/>
        <v>1_2010-10-01</v>
      </c>
      <c r="B36" s="50">
        <v>1</v>
      </c>
      <c r="C36" s="42">
        <v>40452</v>
      </c>
      <c r="D36" s="46">
        <v>71.89</v>
      </c>
      <c r="E36" s="46">
        <v>2.6030000000000002</v>
      </c>
      <c r="F36" s="46" t="s">
        <v>83</v>
      </c>
      <c r="G36" s="46" t="s">
        <v>83</v>
      </c>
      <c r="H36" s="46" t="s">
        <v>83</v>
      </c>
      <c r="I36" s="46" t="s">
        <v>83</v>
      </c>
      <c r="J36" s="46" t="s">
        <v>83</v>
      </c>
      <c r="K36" s="46">
        <v>211.6719895</v>
      </c>
      <c r="L36" s="46">
        <v>7.8380000000000001</v>
      </c>
      <c r="M36" s="48" t="b">
        <v>0</v>
      </c>
      <c r="N36" s="46">
        <v>0</v>
      </c>
    </row>
    <row r="37" spans="1:14">
      <c r="A37" s="44" t="str">
        <f t="shared" si="0"/>
        <v>1_2010-10-08</v>
      </c>
      <c r="B37" s="50">
        <v>1</v>
      </c>
      <c r="C37" s="42">
        <v>40459</v>
      </c>
      <c r="D37" s="46">
        <v>63.93</v>
      </c>
      <c r="E37" s="46">
        <v>2.633</v>
      </c>
      <c r="F37" s="46" t="s">
        <v>83</v>
      </c>
      <c r="G37" s="46" t="s">
        <v>83</v>
      </c>
      <c r="H37" s="46" t="s">
        <v>83</v>
      </c>
      <c r="I37" s="46" t="s">
        <v>83</v>
      </c>
      <c r="J37" s="46" t="s">
        <v>83</v>
      </c>
      <c r="K37" s="46">
        <v>211.74675439999999</v>
      </c>
      <c r="L37" s="46">
        <v>7.8380000000000001</v>
      </c>
      <c r="M37" s="48" t="b">
        <v>0</v>
      </c>
      <c r="N37" s="46">
        <v>0</v>
      </c>
    </row>
    <row r="38" spans="1:14">
      <c r="A38" s="44" t="str">
        <f t="shared" si="0"/>
        <v>1_2010-10-15</v>
      </c>
      <c r="B38" s="50">
        <v>1</v>
      </c>
      <c r="C38" s="42">
        <v>40466</v>
      </c>
      <c r="D38" s="46">
        <v>67.180000000000007</v>
      </c>
      <c r="E38" s="46">
        <v>2.72</v>
      </c>
      <c r="F38" s="46" t="s">
        <v>83</v>
      </c>
      <c r="G38" s="46" t="s">
        <v>83</v>
      </c>
      <c r="H38" s="46" t="s">
        <v>83</v>
      </c>
      <c r="I38" s="46" t="s">
        <v>83</v>
      </c>
      <c r="J38" s="46" t="s">
        <v>83</v>
      </c>
      <c r="K38" s="46">
        <v>211.81374360000001</v>
      </c>
      <c r="L38" s="46">
        <v>7.8380000000000001</v>
      </c>
      <c r="M38" s="48" t="b">
        <v>0</v>
      </c>
      <c r="N38" s="46">
        <v>0</v>
      </c>
    </row>
    <row r="39" spans="1:14">
      <c r="A39" s="44" t="str">
        <f t="shared" si="0"/>
        <v>1_2010-10-22</v>
      </c>
      <c r="B39" s="50">
        <v>1</v>
      </c>
      <c r="C39" s="42">
        <v>40473</v>
      </c>
      <c r="D39" s="46">
        <v>69.86</v>
      </c>
      <c r="E39" s="46">
        <v>2.7250000000000001</v>
      </c>
      <c r="F39" s="46" t="s">
        <v>83</v>
      </c>
      <c r="G39" s="46" t="s">
        <v>83</v>
      </c>
      <c r="H39" s="46" t="s">
        <v>83</v>
      </c>
      <c r="I39" s="46" t="s">
        <v>83</v>
      </c>
      <c r="J39" s="46" t="s">
        <v>83</v>
      </c>
      <c r="K39" s="46">
        <v>211.8612937</v>
      </c>
      <c r="L39" s="46">
        <v>7.8380000000000001</v>
      </c>
      <c r="M39" s="48" t="b">
        <v>0</v>
      </c>
      <c r="N39" s="46">
        <v>0</v>
      </c>
    </row>
    <row r="40" spans="1:14">
      <c r="A40" s="44" t="str">
        <f t="shared" si="0"/>
        <v>1_2010-10-29</v>
      </c>
      <c r="B40" s="50">
        <v>1</v>
      </c>
      <c r="C40" s="42">
        <v>40480</v>
      </c>
      <c r="D40" s="46">
        <v>69.64</v>
      </c>
      <c r="E40" s="46">
        <v>2.7160000000000002</v>
      </c>
      <c r="F40" s="46" t="s">
        <v>83</v>
      </c>
      <c r="G40" s="46" t="s">
        <v>83</v>
      </c>
      <c r="H40" s="46" t="s">
        <v>83</v>
      </c>
      <c r="I40" s="46" t="s">
        <v>83</v>
      </c>
      <c r="J40" s="46" t="s">
        <v>83</v>
      </c>
      <c r="K40" s="46">
        <v>211.9088438</v>
      </c>
      <c r="L40" s="46">
        <v>7.8380000000000001</v>
      </c>
      <c r="M40" s="48" t="b">
        <v>0</v>
      </c>
      <c r="N40" s="46">
        <v>0</v>
      </c>
    </row>
    <row r="41" spans="1:14">
      <c r="A41" s="44" t="str">
        <f t="shared" si="0"/>
        <v>1_2010-11-05</v>
      </c>
      <c r="B41" s="50">
        <v>1</v>
      </c>
      <c r="C41" s="42">
        <v>40487</v>
      </c>
      <c r="D41" s="46">
        <v>58.74</v>
      </c>
      <c r="E41" s="46">
        <v>2.6890000000000001</v>
      </c>
      <c r="F41" s="46" t="s">
        <v>83</v>
      </c>
      <c r="G41" s="46" t="s">
        <v>83</v>
      </c>
      <c r="H41" s="46" t="s">
        <v>83</v>
      </c>
      <c r="I41" s="46" t="s">
        <v>83</v>
      </c>
      <c r="J41" s="46" t="s">
        <v>83</v>
      </c>
      <c r="K41" s="46">
        <v>211.95639389999999</v>
      </c>
      <c r="L41" s="46">
        <v>7.8380000000000001</v>
      </c>
      <c r="M41" s="48" t="b">
        <v>0</v>
      </c>
      <c r="N41" s="46">
        <v>0</v>
      </c>
    </row>
    <row r="42" spans="1:14">
      <c r="A42" s="44" t="str">
        <f t="shared" si="0"/>
        <v>1_2010-11-12</v>
      </c>
      <c r="B42" s="50">
        <v>1</v>
      </c>
      <c r="C42" s="42">
        <v>40494</v>
      </c>
      <c r="D42" s="46">
        <v>59.61</v>
      </c>
      <c r="E42" s="46">
        <v>2.7280000000000002</v>
      </c>
      <c r="F42" s="46" t="s">
        <v>83</v>
      </c>
      <c r="G42" s="46" t="s">
        <v>83</v>
      </c>
      <c r="H42" s="46" t="s">
        <v>83</v>
      </c>
      <c r="I42" s="46" t="s">
        <v>83</v>
      </c>
      <c r="J42" s="46" t="s">
        <v>83</v>
      </c>
      <c r="K42" s="46">
        <v>212.00394399999999</v>
      </c>
      <c r="L42" s="46">
        <v>7.8380000000000001</v>
      </c>
      <c r="M42" s="48" t="b">
        <v>0</v>
      </c>
      <c r="N42" s="46">
        <v>0</v>
      </c>
    </row>
    <row r="43" spans="1:14">
      <c r="A43" s="44" t="str">
        <f t="shared" si="0"/>
        <v>1_2010-11-19</v>
      </c>
      <c r="B43" s="50">
        <v>1</v>
      </c>
      <c r="C43" s="42">
        <v>40501</v>
      </c>
      <c r="D43" s="46">
        <v>51.41</v>
      </c>
      <c r="E43" s="46">
        <v>2.7709999999999999</v>
      </c>
      <c r="F43" s="46" t="s">
        <v>83</v>
      </c>
      <c r="G43" s="46" t="s">
        <v>83</v>
      </c>
      <c r="H43" s="46" t="s">
        <v>83</v>
      </c>
      <c r="I43" s="46" t="s">
        <v>83</v>
      </c>
      <c r="J43" s="46" t="s">
        <v>83</v>
      </c>
      <c r="K43" s="46">
        <v>211.8896737</v>
      </c>
      <c r="L43" s="46">
        <v>7.8380000000000001</v>
      </c>
      <c r="M43" s="48" t="b">
        <v>0</v>
      </c>
      <c r="N43" s="46">
        <v>0</v>
      </c>
    </row>
    <row r="44" spans="1:14">
      <c r="A44" s="44" t="str">
        <f t="shared" si="0"/>
        <v>1_2010-11-26</v>
      </c>
      <c r="B44" s="50">
        <v>1</v>
      </c>
      <c r="C44" s="42">
        <v>40508</v>
      </c>
      <c r="D44" s="46">
        <v>64.52</v>
      </c>
      <c r="E44" s="46">
        <v>2.7349999999999999</v>
      </c>
      <c r="F44" s="46" t="s">
        <v>83</v>
      </c>
      <c r="G44" s="46" t="s">
        <v>83</v>
      </c>
      <c r="H44" s="46" t="s">
        <v>83</v>
      </c>
      <c r="I44" s="46" t="s">
        <v>83</v>
      </c>
      <c r="J44" s="46" t="s">
        <v>83</v>
      </c>
      <c r="K44" s="46">
        <v>211.74843329999999</v>
      </c>
      <c r="L44" s="46">
        <v>7.8380000000000001</v>
      </c>
      <c r="M44" s="48" t="b">
        <v>1</v>
      </c>
      <c r="N44" s="46">
        <v>0</v>
      </c>
    </row>
    <row r="45" spans="1:14">
      <c r="A45" s="44" t="str">
        <f t="shared" si="0"/>
        <v>1_2010-12-03</v>
      </c>
      <c r="B45" s="50">
        <v>1</v>
      </c>
      <c r="C45" s="42">
        <v>40515</v>
      </c>
      <c r="D45" s="46">
        <v>49.27</v>
      </c>
      <c r="E45" s="46">
        <v>2.7080000000000002</v>
      </c>
      <c r="F45" s="46" t="s">
        <v>83</v>
      </c>
      <c r="G45" s="46" t="s">
        <v>83</v>
      </c>
      <c r="H45" s="46" t="s">
        <v>83</v>
      </c>
      <c r="I45" s="46" t="s">
        <v>83</v>
      </c>
      <c r="J45" s="46" t="s">
        <v>83</v>
      </c>
      <c r="K45" s="46">
        <v>211.607193</v>
      </c>
      <c r="L45" s="46">
        <v>7.8380000000000001</v>
      </c>
      <c r="M45" s="48" t="b">
        <v>0</v>
      </c>
      <c r="N45" s="46">
        <v>0</v>
      </c>
    </row>
    <row r="46" spans="1:14">
      <c r="A46" s="44" t="str">
        <f t="shared" si="0"/>
        <v>1_2010-12-10</v>
      </c>
      <c r="B46" s="50">
        <v>1</v>
      </c>
      <c r="C46" s="42">
        <v>40522</v>
      </c>
      <c r="D46" s="46">
        <v>46.33</v>
      </c>
      <c r="E46" s="46">
        <v>2.843</v>
      </c>
      <c r="F46" s="46" t="s">
        <v>83</v>
      </c>
      <c r="G46" s="46" t="s">
        <v>83</v>
      </c>
      <c r="H46" s="46" t="s">
        <v>83</v>
      </c>
      <c r="I46" s="46" t="s">
        <v>83</v>
      </c>
      <c r="J46" s="46" t="s">
        <v>83</v>
      </c>
      <c r="K46" s="46">
        <v>211.46595260000001</v>
      </c>
      <c r="L46" s="46">
        <v>7.8380000000000001</v>
      </c>
      <c r="M46" s="48" t="b">
        <v>0</v>
      </c>
      <c r="N46" s="46">
        <v>0</v>
      </c>
    </row>
    <row r="47" spans="1:14">
      <c r="A47" s="44" t="str">
        <f t="shared" si="0"/>
        <v>1_2010-12-17</v>
      </c>
      <c r="B47" s="50">
        <v>1</v>
      </c>
      <c r="C47" s="42">
        <v>40529</v>
      </c>
      <c r="D47" s="46">
        <v>49.84</v>
      </c>
      <c r="E47" s="46">
        <v>2.8690000000000002</v>
      </c>
      <c r="F47" s="46" t="s">
        <v>83</v>
      </c>
      <c r="G47" s="46" t="s">
        <v>83</v>
      </c>
      <c r="H47" s="46" t="s">
        <v>83</v>
      </c>
      <c r="I47" s="46" t="s">
        <v>83</v>
      </c>
      <c r="J47" s="46" t="s">
        <v>83</v>
      </c>
      <c r="K47" s="46">
        <v>211.40531240000001</v>
      </c>
      <c r="L47" s="46">
        <v>7.8380000000000001</v>
      </c>
      <c r="M47" s="48" t="b">
        <v>0</v>
      </c>
      <c r="N47" s="46">
        <v>0</v>
      </c>
    </row>
    <row r="48" spans="1:14">
      <c r="A48" s="44" t="str">
        <f t="shared" si="0"/>
        <v>1_2010-12-24</v>
      </c>
      <c r="B48" s="50">
        <v>1</v>
      </c>
      <c r="C48" s="42">
        <v>40536</v>
      </c>
      <c r="D48" s="46">
        <v>52.33</v>
      </c>
      <c r="E48" s="46">
        <v>2.8860000000000001</v>
      </c>
      <c r="F48" s="46" t="s">
        <v>83</v>
      </c>
      <c r="G48" s="46" t="s">
        <v>83</v>
      </c>
      <c r="H48" s="46" t="s">
        <v>83</v>
      </c>
      <c r="I48" s="46" t="s">
        <v>83</v>
      </c>
      <c r="J48" s="46" t="s">
        <v>83</v>
      </c>
      <c r="K48" s="46">
        <v>211.40512219999999</v>
      </c>
      <c r="L48" s="46">
        <v>7.8380000000000001</v>
      </c>
      <c r="M48" s="48" t="b">
        <v>0</v>
      </c>
      <c r="N48" s="46">
        <v>0</v>
      </c>
    </row>
    <row r="49" spans="1:14">
      <c r="A49" s="44" t="str">
        <f t="shared" si="0"/>
        <v>1_2010-12-31</v>
      </c>
      <c r="B49" s="50">
        <v>1</v>
      </c>
      <c r="C49" s="42">
        <v>40543</v>
      </c>
      <c r="D49" s="46">
        <v>48.43</v>
      </c>
      <c r="E49" s="46">
        <v>2.9430000000000001</v>
      </c>
      <c r="F49" s="46" t="s">
        <v>83</v>
      </c>
      <c r="G49" s="46" t="s">
        <v>83</v>
      </c>
      <c r="H49" s="46" t="s">
        <v>83</v>
      </c>
      <c r="I49" s="46" t="s">
        <v>83</v>
      </c>
      <c r="J49" s="46" t="s">
        <v>83</v>
      </c>
      <c r="K49" s="46">
        <v>211.4049321</v>
      </c>
      <c r="L49" s="46">
        <v>7.8380000000000001</v>
      </c>
      <c r="M49" s="48" t="b">
        <v>1</v>
      </c>
      <c r="N49" s="46">
        <v>0</v>
      </c>
    </row>
    <row r="50" spans="1:14">
      <c r="A50" s="44" t="str">
        <f t="shared" si="0"/>
        <v>1_2011-01-07</v>
      </c>
      <c r="B50" s="50">
        <v>1</v>
      </c>
      <c r="C50" s="42">
        <v>40550</v>
      </c>
      <c r="D50" s="46">
        <v>48.27</v>
      </c>
      <c r="E50" s="46">
        <v>2.976</v>
      </c>
      <c r="F50" s="46" t="s">
        <v>83</v>
      </c>
      <c r="G50" s="46" t="s">
        <v>83</v>
      </c>
      <c r="H50" s="46" t="s">
        <v>83</v>
      </c>
      <c r="I50" s="46" t="s">
        <v>83</v>
      </c>
      <c r="J50" s="46" t="s">
        <v>83</v>
      </c>
      <c r="K50" s="46">
        <v>211.4047419</v>
      </c>
      <c r="L50" s="46">
        <v>7.742</v>
      </c>
      <c r="M50" s="48" t="b">
        <v>0</v>
      </c>
      <c r="N50" s="46">
        <v>0</v>
      </c>
    </row>
    <row r="51" spans="1:14">
      <c r="A51" s="44" t="str">
        <f t="shared" si="0"/>
        <v>1_2011-01-14</v>
      </c>
      <c r="B51" s="50">
        <v>1</v>
      </c>
      <c r="C51" s="42">
        <v>40557</v>
      </c>
      <c r="D51" s="46">
        <v>35.4</v>
      </c>
      <c r="E51" s="46">
        <v>2.9830000000000001</v>
      </c>
      <c r="F51" s="46" t="s">
        <v>83</v>
      </c>
      <c r="G51" s="46" t="s">
        <v>83</v>
      </c>
      <c r="H51" s="46" t="s">
        <v>83</v>
      </c>
      <c r="I51" s="46" t="s">
        <v>83</v>
      </c>
      <c r="J51" s="46" t="s">
        <v>83</v>
      </c>
      <c r="K51" s="46">
        <v>211.45741090000001</v>
      </c>
      <c r="L51" s="46">
        <v>7.742</v>
      </c>
      <c r="M51" s="48" t="b">
        <v>0</v>
      </c>
      <c r="N51" s="46">
        <v>0</v>
      </c>
    </row>
    <row r="52" spans="1:14">
      <c r="A52" s="44" t="str">
        <f t="shared" si="0"/>
        <v>1_2011-01-21</v>
      </c>
      <c r="B52" s="50">
        <v>1</v>
      </c>
      <c r="C52" s="42">
        <v>40564</v>
      </c>
      <c r="D52" s="46">
        <v>44.04</v>
      </c>
      <c r="E52" s="46">
        <v>3.016</v>
      </c>
      <c r="F52" s="46" t="s">
        <v>83</v>
      </c>
      <c r="G52" s="46" t="s">
        <v>83</v>
      </c>
      <c r="H52" s="46" t="s">
        <v>83</v>
      </c>
      <c r="I52" s="46" t="s">
        <v>83</v>
      </c>
      <c r="J52" s="46" t="s">
        <v>83</v>
      </c>
      <c r="K52" s="46">
        <v>211.82723429999999</v>
      </c>
      <c r="L52" s="46">
        <v>7.742</v>
      </c>
      <c r="M52" s="48" t="b">
        <v>0</v>
      </c>
      <c r="N52" s="46">
        <v>0</v>
      </c>
    </row>
    <row r="53" spans="1:14">
      <c r="A53" s="44" t="str">
        <f t="shared" si="0"/>
        <v>1_2011-01-28</v>
      </c>
      <c r="B53" s="50">
        <v>1</v>
      </c>
      <c r="C53" s="42">
        <v>40571</v>
      </c>
      <c r="D53" s="46">
        <v>43.83</v>
      </c>
      <c r="E53" s="46">
        <v>3.01</v>
      </c>
      <c r="F53" s="46" t="s">
        <v>83</v>
      </c>
      <c r="G53" s="46" t="s">
        <v>83</v>
      </c>
      <c r="H53" s="46" t="s">
        <v>83</v>
      </c>
      <c r="I53" s="46" t="s">
        <v>83</v>
      </c>
      <c r="J53" s="46" t="s">
        <v>83</v>
      </c>
      <c r="K53" s="46">
        <v>212.19705769999999</v>
      </c>
      <c r="L53" s="46">
        <v>7.742</v>
      </c>
      <c r="M53" s="48" t="b">
        <v>0</v>
      </c>
      <c r="N53" s="46">
        <v>0</v>
      </c>
    </row>
    <row r="54" spans="1:14">
      <c r="A54" s="44" t="str">
        <f t="shared" si="0"/>
        <v>1_2011-02-04</v>
      </c>
      <c r="B54" s="50">
        <v>1</v>
      </c>
      <c r="C54" s="42">
        <v>40578</v>
      </c>
      <c r="D54" s="46">
        <v>42.27</v>
      </c>
      <c r="E54" s="46">
        <v>2.9889999999999999</v>
      </c>
      <c r="F54" s="46" t="s">
        <v>83</v>
      </c>
      <c r="G54" s="46" t="s">
        <v>83</v>
      </c>
      <c r="H54" s="46" t="s">
        <v>83</v>
      </c>
      <c r="I54" s="46" t="s">
        <v>83</v>
      </c>
      <c r="J54" s="46" t="s">
        <v>83</v>
      </c>
      <c r="K54" s="46">
        <v>212.56688120000001</v>
      </c>
      <c r="L54" s="46">
        <v>7.742</v>
      </c>
      <c r="M54" s="48" t="b">
        <v>0</v>
      </c>
      <c r="N54" s="46">
        <v>0</v>
      </c>
    </row>
    <row r="55" spans="1:14">
      <c r="A55" s="44" t="str">
        <f t="shared" si="0"/>
        <v>1_2011-02-11</v>
      </c>
      <c r="B55" s="50">
        <v>1</v>
      </c>
      <c r="C55" s="42">
        <v>40585</v>
      </c>
      <c r="D55" s="46">
        <v>36.39</v>
      </c>
      <c r="E55" s="46">
        <v>3.0219999999999998</v>
      </c>
      <c r="F55" s="46" t="s">
        <v>83</v>
      </c>
      <c r="G55" s="46" t="s">
        <v>83</v>
      </c>
      <c r="H55" s="46" t="s">
        <v>83</v>
      </c>
      <c r="I55" s="46" t="s">
        <v>83</v>
      </c>
      <c r="J55" s="46" t="s">
        <v>83</v>
      </c>
      <c r="K55" s="46">
        <v>212.93670460000001</v>
      </c>
      <c r="L55" s="46">
        <v>7.742</v>
      </c>
      <c r="M55" s="48" t="b">
        <v>1</v>
      </c>
      <c r="N55" s="46">
        <v>0</v>
      </c>
    </row>
    <row r="56" spans="1:14">
      <c r="A56" s="44" t="str">
        <f t="shared" si="0"/>
        <v>1_2011-02-18</v>
      </c>
      <c r="B56" s="50">
        <v>1</v>
      </c>
      <c r="C56" s="42">
        <v>40592</v>
      </c>
      <c r="D56" s="46">
        <v>57.36</v>
      </c>
      <c r="E56" s="46">
        <v>3.0449999999999999</v>
      </c>
      <c r="F56" s="46" t="s">
        <v>83</v>
      </c>
      <c r="G56" s="46" t="s">
        <v>83</v>
      </c>
      <c r="H56" s="46" t="s">
        <v>83</v>
      </c>
      <c r="I56" s="46" t="s">
        <v>83</v>
      </c>
      <c r="J56" s="46" t="s">
        <v>83</v>
      </c>
      <c r="K56" s="46">
        <v>213.24788530000001</v>
      </c>
      <c r="L56" s="46">
        <v>7.742</v>
      </c>
      <c r="M56" s="48" t="b">
        <v>0</v>
      </c>
      <c r="N56" s="46">
        <v>0</v>
      </c>
    </row>
    <row r="57" spans="1:14">
      <c r="A57" s="44" t="str">
        <f t="shared" si="0"/>
        <v>1_2011-02-25</v>
      </c>
      <c r="B57" s="50">
        <v>1</v>
      </c>
      <c r="C57" s="42">
        <v>40599</v>
      </c>
      <c r="D57" s="46">
        <v>62.9</v>
      </c>
      <c r="E57" s="46">
        <v>3.0649999999999999</v>
      </c>
      <c r="F57" s="46" t="s">
        <v>83</v>
      </c>
      <c r="G57" s="46" t="s">
        <v>83</v>
      </c>
      <c r="H57" s="46" t="s">
        <v>83</v>
      </c>
      <c r="I57" s="46" t="s">
        <v>83</v>
      </c>
      <c r="J57" s="46" t="s">
        <v>83</v>
      </c>
      <c r="K57" s="46">
        <v>213.53560899999999</v>
      </c>
      <c r="L57" s="46">
        <v>7.742</v>
      </c>
      <c r="M57" s="48" t="b">
        <v>0</v>
      </c>
      <c r="N57" s="46">
        <v>0</v>
      </c>
    </row>
    <row r="58" spans="1:14">
      <c r="A58" s="44" t="str">
        <f t="shared" si="0"/>
        <v>1_2011-03-04</v>
      </c>
      <c r="B58" s="50">
        <v>1</v>
      </c>
      <c r="C58" s="42">
        <v>40606</v>
      </c>
      <c r="D58" s="46">
        <v>59.58</v>
      </c>
      <c r="E58" s="46">
        <v>3.2879999999999998</v>
      </c>
      <c r="F58" s="46" t="s">
        <v>83</v>
      </c>
      <c r="G58" s="46" t="s">
        <v>83</v>
      </c>
      <c r="H58" s="46" t="s">
        <v>83</v>
      </c>
      <c r="I58" s="46" t="s">
        <v>83</v>
      </c>
      <c r="J58" s="46" t="s">
        <v>83</v>
      </c>
      <c r="K58" s="46">
        <v>213.82333270000001</v>
      </c>
      <c r="L58" s="46">
        <v>7.742</v>
      </c>
      <c r="M58" s="48" t="b">
        <v>0</v>
      </c>
      <c r="N58" s="46">
        <v>0</v>
      </c>
    </row>
    <row r="59" spans="1:14">
      <c r="A59" s="44" t="str">
        <f t="shared" si="0"/>
        <v>1_2011-03-11</v>
      </c>
      <c r="B59" s="50">
        <v>1</v>
      </c>
      <c r="C59" s="42">
        <v>40613</v>
      </c>
      <c r="D59" s="46">
        <v>53.56</v>
      </c>
      <c r="E59" s="46">
        <v>3.4590000000000001</v>
      </c>
      <c r="F59" s="46" t="s">
        <v>83</v>
      </c>
      <c r="G59" s="46" t="s">
        <v>83</v>
      </c>
      <c r="H59" s="46" t="s">
        <v>83</v>
      </c>
      <c r="I59" s="46" t="s">
        <v>83</v>
      </c>
      <c r="J59" s="46" t="s">
        <v>83</v>
      </c>
      <c r="K59" s="46">
        <v>214.1110564</v>
      </c>
      <c r="L59" s="46">
        <v>7.742</v>
      </c>
      <c r="M59" s="48" t="b">
        <v>0</v>
      </c>
      <c r="N59" s="46">
        <v>0</v>
      </c>
    </row>
    <row r="60" spans="1:14">
      <c r="A60" s="44" t="str">
        <f t="shared" si="0"/>
        <v>1_2011-03-18</v>
      </c>
      <c r="B60" s="50">
        <v>1</v>
      </c>
      <c r="C60" s="42">
        <v>40620</v>
      </c>
      <c r="D60" s="46">
        <v>62.76</v>
      </c>
      <c r="E60" s="46">
        <v>3.488</v>
      </c>
      <c r="F60" s="46" t="s">
        <v>83</v>
      </c>
      <c r="G60" s="46" t="s">
        <v>83</v>
      </c>
      <c r="H60" s="46" t="s">
        <v>83</v>
      </c>
      <c r="I60" s="46" t="s">
        <v>83</v>
      </c>
      <c r="J60" s="46" t="s">
        <v>83</v>
      </c>
      <c r="K60" s="46">
        <v>214.36271139999999</v>
      </c>
      <c r="L60" s="46">
        <v>7.742</v>
      </c>
      <c r="M60" s="48" t="b">
        <v>0</v>
      </c>
      <c r="N60" s="46">
        <v>0</v>
      </c>
    </row>
    <row r="61" spans="1:14">
      <c r="A61" s="44" t="str">
        <f t="shared" si="0"/>
        <v>1_2011-03-25</v>
      </c>
      <c r="B61" s="50">
        <v>1</v>
      </c>
      <c r="C61" s="42">
        <v>40627</v>
      </c>
      <c r="D61" s="46">
        <v>69.97</v>
      </c>
      <c r="E61" s="46">
        <v>3.4729999999999999</v>
      </c>
      <c r="F61" s="46" t="s">
        <v>83</v>
      </c>
      <c r="G61" s="46" t="s">
        <v>83</v>
      </c>
      <c r="H61" s="46" t="s">
        <v>83</v>
      </c>
      <c r="I61" s="46" t="s">
        <v>83</v>
      </c>
      <c r="J61" s="46" t="s">
        <v>83</v>
      </c>
      <c r="K61" s="46">
        <v>214.59993890000001</v>
      </c>
      <c r="L61" s="46">
        <v>7.742</v>
      </c>
      <c r="M61" s="48" t="b">
        <v>0</v>
      </c>
      <c r="N61" s="46">
        <v>0</v>
      </c>
    </row>
    <row r="62" spans="1:14">
      <c r="A62" s="44" t="str">
        <f t="shared" si="0"/>
        <v>1_2011-04-01</v>
      </c>
      <c r="B62" s="50">
        <v>1</v>
      </c>
      <c r="C62" s="42">
        <v>40634</v>
      </c>
      <c r="D62" s="46">
        <v>59.17</v>
      </c>
      <c r="E62" s="46">
        <v>3.524</v>
      </c>
      <c r="F62" s="46" t="s">
        <v>83</v>
      </c>
      <c r="G62" s="46" t="s">
        <v>83</v>
      </c>
      <c r="H62" s="46" t="s">
        <v>83</v>
      </c>
      <c r="I62" s="46" t="s">
        <v>83</v>
      </c>
      <c r="J62" s="46" t="s">
        <v>83</v>
      </c>
      <c r="K62" s="46">
        <v>214.8371664</v>
      </c>
      <c r="L62" s="46">
        <v>7.6820000000000004</v>
      </c>
      <c r="M62" s="48" t="b">
        <v>0</v>
      </c>
      <c r="N62" s="46">
        <v>0</v>
      </c>
    </row>
    <row r="63" spans="1:14">
      <c r="A63" s="44" t="str">
        <f t="shared" si="0"/>
        <v>1_2011-04-08</v>
      </c>
      <c r="B63" s="50">
        <v>1</v>
      </c>
      <c r="C63" s="42">
        <v>40641</v>
      </c>
      <c r="D63" s="46">
        <v>67.84</v>
      </c>
      <c r="E63" s="46">
        <v>3.6219999999999999</v>
      </c>
      <c r="F63" s="46" t="s">
        <v>83</v>
      </c>
      <c r="G63" s="46" t="s">
        <v>83</v>
      </c>
      <c r="H63" s="46" t="s">
        <v>83</v>
      </c>
      <c r="I63" s="46" t="s">
        <v>83</v>
      </c>
      <c r="J63" s="46" t="s">
        <v>83</v>
      </c>
      <c r="K63" s="46">
        <v>215.07439389999999</v>
      </c>
      <c r="L63" s="46">
        <v>7.6820000000000004</v>
      </c>
      <c r="M63" s="48" t="b">
        <v>0</v>
      </c>
      <c r="N63" s="46">
        <v>0</v>
      </c>
    </row>
    <row r="64" spans="1:14">
      <c r="A64" s="44" t="str">
        <f t="shared" si="0"/>
        <v>1_2011-04-15</v>
      </c>
      <c r="B64" s="50">
        <v>1</v>
      </c>
      <c r="C64" s="42">
        <v>40648</v>
      </c>
      <c r="D64" s="46">
        <v>71.27</v>
      </c>
      <c r="E64" s="46">
        <v>3.7429999999999999</v>
      </c>
      <c r="F64" s="46" t="s">
        <v>83</v>
      </c>
      <c r="G64" s="46" t="s">
        <v>83</v>
      </c>
      <c r="H64" s="46" t="s">
        <v>83</v>
      </c>
      <c r="I64" s="46" t="s">
        <v>83</v>
      </c>
      <c r="J64" s="46" t="s">
        <v>83</v>
      </c>
      <c r="K64" s="46">
        <v>215.29185609999999</v>
      </c>
      <c r="L64" s="46">
        <v>7.6820000000000004</v>
      </c>
      <c r="M64" s="48" t="b">
        <v>0</v>
      </c>
      <c r="N64" s="46">
        <v>0</v>
      </c>
    </row>
    <row r="65" spans="1:14">
      <c r="A65" s="44" t="str">
        <f t="shared" si="0"/>
        <v>1_2011-04-22</v>
      </c>
      <c r="B65" s="50">
        <v>1</v>
      </c>
      <c r="C65" s="42">
        <v>40655</v>
      </c>
      <c r="D65" s="46">
        <v>72.989999999999995</v>
      </c>
      <c r="E65" s="46">
        <v>3.8069999999999999</v>
      </c>
      <c r="F65" s="46" t="s">
        <v>83</v>
      </c>
      <c r="G65" s="46" t="s">
        <v>83</v>
      </c>
      <c r="H65" s="46" t="s">
        <v>83</v>
      </c>
      <c r="I65" s="46" t="s">
        <v>83</v>
      </c>
      <c r="J65" s="46" t="s">
        <v>83</v>
      </c>
      <c r="K65" s="46">
        <v>215.4599053</v>
      </c>
      <c r="L65" s="46">
        <v>7.6820000000000004</v>
      </c>
      <c r="M65" s="48" t="b">
        <v>0</v>
      </c>
      <c r="N65" s="46">
        <v>0</v>
      </c>
    </row>
    <row r="66" spans="1:14">
      <c r="A66" s="44" t="str">
        <f t="shared" si="0"/>
        <v>1_2011-04-29</v>
      </c>
      <c r="B66" s="50">
        <v>1</v>
      </c>
      <c r="C66" s="42">
        <v>40662</v>
      </c>
      <c r="D66" s="46">
        <v>72.03</v>
      </c>
      <c r="E66" s="46">
        <v>3.81</v>
      </c>
      <c r="F66" s="46" t="s">
        <v>83</v>
      </c>
      <c r="G66" s="46" t="s">
        <v>83</v>
      </c>
      <c r="H66" s="46" t="s">
        <v>83</v>
      </c>
      <c r="I66" s="46" t="s">
        <v>83</v>
      </c>
      <c r="J66" s="46" t="s">
        <v>83</v>
      </c>
      <c r="K66" s="46">
        <v>215.62795439999999</v>
      </c>
      <c r="L66" s="46">
        <v>7.6820000000000004</v>
      </c>
      <c r="M66" s="48" t="b">
        <v>0</v>
      </c>
      <c r="N66" s="46">
        <v>0</v>
      </c>
    </row>
    <row r="67" spans="1:14">
      <c r="A67" s="44" t="str">
        <f t="shared" ref="A67:A130" si="1" xml:space="preserve"> B67 &amp; "_" &amp; TEXT(C67,"yyyy-mm-dd")</f>
        <v>1_2011-05-06</v>
      </c>
      <c r="B67" s="50">
        <v>1</v>
      </c>
      <c r="C67" s="42">
        <v>40669</v>
      </c>
      <c r="D67" s="46">
        <v>64.61</v>
      </c>
      <c r="E67" s="46">
        <v>3.9060000000000001</v>
      </c>
      <c r="F67" s="46" t="s">
        <v>83</v>
      </c>
      <c r="G67" s="46" t="s">
        <v>83</v>
      </c>
      <c r="H67" s="46" t="s">
        <v>83</v>
      </c>
      <c r="I67" s="46" t="s">
        <v>83</v>
      </c>
      <c r="J67" s="46" t="s">
        <v>83</v>
      </c>
      <c r="K67" s="46">
        <v>215.79600350000001</v>
      </c>
      <c r="L67" s="46">
        <v>7.6820000000000004</v>
      </c>
      <c r="M67" s="48" t="b">
        <v>0</v>
      </c>
      <c r="N67" s="46">
        <v>0</v>
      </c>
    </row>
    <row r="68" spans="1:14">
      <c r="A68" s="44" t="str">
        <f t="shared" si="1"/>
        <v>1_2011-05-13</v>
      </c>
      <c r="B68" s="50">
        <v>1</v>
      </c>
      <c r="C68" s="42">
        <v>40676</v>
      </c>
      <c r="D68" s="46">
        <v>75.64</v>
      </c>
      <c r="E68" s="46">
        <v>3.899</v>
      </c>
      <c r="F68" s="46" t="s">
        <v>83</v>
      </c>
      <c r="G68" s="46" t="s">
        <v>83</v>
      </c>
      <c r="H68" s="46" t="s">
        <v>83</v>
      </c>
      <c r="I68" s="46" t="s">
        <v>83</v>
      </c>
      <c r="J68" s="46" t="s">
        <v>83</v>
      </c>
      <c r="K68" s="46">
        <v>215.9640526</v>
      </c>
      <c r="L68" s="46">
        <v>7.6820000000000004</v>
      </c>
      <c r="M68" s="48" t="b">
        <v>0</v>
      </c>
      <c r="N68" s="46">
        <v>0</v>
      </c>
    </row>
    <row r="69" spans="1:14">
      <c r="A69" s="44" t="str">
        <f t="shared" si="1"/>
        <v>1_2011-05-20</v>
      </c>
      <c r="B69" s="50">
        <v>1</v>
      </c>
      <c r="C69" s="42">
        <v>40683</v>
      </c>
      <c r="D69" s="46">
        <v>67.63</v>
      </c>
      <c r="E69" s="46">
        <v>3.907</v>
      </c>
      <c r="F69" s="46" t="s">
        <v>83</v>
      </c>
      <c r="G69" s="46" t="s">
        <v>83</v>
      </c>
      <c r="H69" s="46" t="s">
        <v>83</v>
      </c>
      <c r="I69" s="46" t="s">
        <v>83</v>
      </c>
      <c r="J69" s="46" t="s">
        <v>83</v>
      </c>
      <c r="K69" s="46">
        <v>215.7339202</v>
      </c>
      <c r="L69" s="46">
        <v>7.6820000000000004</v>
      </c>
      <c r="M69" s="48" t="b">
        <v>0</v>
      </c>
      <c r="N69" s="46">
        <v>0</v>
      </c>
    </row>
    <row r="70" spans="1:14">
      <c r="A70" s="44" t="str">
        <f t="shared" si="1"/>
        <v>1_2011-05-27</v>
      </c>
      <c r="B70" s="50">
        <v>1</v>
      </c>
      <c r="C70" s="42">
        <v>40690</v>
      </c>
      <c r="D70" s="46">
        <v>77.72</v>
      </c>
      <c r="E70" s="46">
        <v>3.786</v>
      </c>
      <c r="F70" s="46" t="s">
        <v>83</v>
      </c>
      <c r="G70" s="46" t="s">
        <v>83</v>
      </c>
      <c r="H70" s="46" t="s">
        <v>83</v>
      </c>
      <c r="I70" s="46" t="s">
        <v>83</v>
      </c>
      <c r="J70" s="46" t="s">
        <v>83</v>
      </c>
      <c r="K70" s="46">
        <v>215.5037878</v>
      </c>
      <c r="L70" s="46">
        <v>7.6820000000000004</v>
      </c>
      <c r="M70" s="48" t="b">
        <v>0</v>
      </c>
      <c r="N70" s="46">
        <v>0</v>
      </c>
    </row>
    <row r="71" spans="1:14">
      <c r="A71" s="44" t="str">
        <f t="shared" si="1"/>
        <v>1_2011-06-03</v>
      </c>
      <c r="B71" s="50">
        <v>1</v>
      </c>
      <c r="C71" s="42">
        <v>40697</v>
      </c>
      <c r="D71" s="46">
        <v>83</v>
      </c>
      <c r="E71" s="46">
        <v>3.6989999999999998</v>
      </c>
      <c r="F71" s="46" t="s">
        <v>83</v>
      </c>
      <c r="G71" s="46" t="s">
        <v>83</v>
      </c>
      <c r="H71" s="46" t="s">
        <v>83</v>
      </c>
      <c r="I71" s="46" t="s">
        <v>83</v>
      </c>
      <c r="J71" s="46" t="s">
        <v>83</v>
      </c>
      <c r="K71" s="46">
        <v>215.2736553</v>
      </c>
      <c r="L71" s="46">
        <v>7.6820000000000004</v>
      </c>
      <c r="M71" s="48" t="b">
        <v>0</v>
      </c>
      <c r="N71" s="46">
        <v>0</v>
      </c>
    </row>
    <row r="72" spans="1:14">
      <c r="A72" s="44" t="str">
        <f t="shared" si="1"/>
        <v>1_2011-06-10</v>
      </c>
      <c r="B72" s="50">
        <v>1</v>
      </c>
      <c r="C72" s="42">
        <v>40704</v>
      </c>
      <c r="D72" s="46">
        <v>83.13</v>
      </c>
      <c r="E72" s="46">
        <v>3.6480000000000001</v>
      </c>
      <c r="F72" s="46" t="s">
        <v>83</v>
      </c>
      <c r="G72" s="46" t="s">
        <v>83</v>
      </c>
      <c r="H72" s="46" t="s">
        <v>83</v>
      </c>
      <c r="I72" s="46" t="s">
        <v>83</v>
      </c>
      <c r="J72" s="46" t="s">
        <v>83</v>
      </c>
      <c r="K72" s="46">
        <v>215.0435229</v>
      </c>
      <c r="L72" s="46">
        <v>7.6820000000000004</v>
      </c>
      <c r="M72" s="48" t="b">
        <v>0</v>
      </c>
      <c r="N72" s="46">
        <v>0</v>
      </c>
    </row>
    <row r="73" spans="1:14">
      <c r="A73" s="44" t="str">
        <f t="shared" si="1"/>
        <v>1_2011-06-17</v>
      </c>
      <c r="B73" s="50">
        <v>1</v>
      </c>
      <c r="C73" s="42">
        <v>40711</v>
      </c>
      <c r="D73" s="46">
        <v>86.41</v>
      </c>
      <c r="E73" s="46">
        <v>3.637</v>
      </c>
      <c r="F73" s="46" t="s">
        <v>83</v>
      </c>
      <c r="G73" s="46" t="s">
        <v>83</v>
      </c>
      <c r="H73" s="46" t="s">
        <v>83</v>
      </c>
      <c r="I73" s="46" t="s">
        <v>83</v>
      </c>
      <c r="J73" s="46" t="s">
        <v>83</v>
      </c>
      <c r="K73" s="46">
        <v>214.9980596</v>
      </c>
      <c r="L73" s="46">
        <v>7.6820000000000004</v>
      </c>
      <c r="M73" s="48" t="b">
        <v>0</v>
      </c>
      <c r="N73" s="46">
        <v>0</v>
      </c>
    </row>
    <row r="74" spans="1:14">
      <c r="A74" s="44" t="str">
        <f t="shared" si="1"/>
        <v>1_2011-06-24</v>
      </c>
      <c r="B74" s="50">
        <v>1</v>
      </c>
      <c r="C74" s="42">
        <v>40718</v>
      </c>
      <c r="D74" s="46">
        <v>83.58</v>
      </c>
      <c r="E74" s="46">
        <v>3.5939999999999999</v>
      </c>
      <c r="F74" s="46" t="s">
        <v>83</v>
      </c>
      <c r="G74" s="46" t="s">
        <v>83</v>
      </c>
      <c r="H74" s="46" t="s">
        <v>83</v>
      </c>
      <c r="I74" s="46" t="s">
        <v>83</v>
      </c>
      <c r="J74" s="46" t="s">
        <v>83</v>
      </c>
      <c r="K74" s="46">
        <v>215.0910982</v>
      </c>
      <c r="L74" s="46">
        <v>7.6820000000000004</v>
      </c>
      <c r="M74" s="48" t="b">
        <v>0</v>
      </c>
      <c r="N74" s="46">
        <v>0</v>
      </c>
    </row>
    <row r="75" spans="1:14">
      <c r="A75" s="44" t="str">
        <f t="shared" si="1"/>
        <v>1_2011-07-01</v>
      </c>
      <c r="B75" s="50">
        <v>1</v>
      </c>
      <c r="C75" s="42">
        <v>40725</v>
      </c>
      <c r="D75" s="46">
        <v>85.55</v>
      </c>
      <c r="E75" s="46">
        <v>3.524</v>
      </c>
      <c r="F75" s="46" t="s">
        <v>83</v>
      </c>
      <c r="G75" s="46" t="s">
        <v>83</v>
      </c>
      <c r="H75" s="46" t="s">
        <v>83</v>
      </c>
      <c r="I75" s="46" t="s">
        <v>83</v>
      </c>
      <c r="J75" s="46" t="s">
        <v>83</v>
      </c>
      <c r="K75" s="46">
        <v>215.1841368</v>
      </c>
      <c r="L75" s="46">
        <v>7.9619999999999997</v>
      </c>
      <c r="M75" s="48" t="b">
        <v>0</v>
      </c>
      <c r="N75" s="46">
        <v>0</v>
      </c>
    </row>
    <row r="76" spans="1:14">
      <c r="A76" s="44" t="str">
        <f t="shared" si="1"/>
        <v>1_2011-07-08</v>
      </c>
      <c r="B76" s="50">
        <v>1</v>
      </c>
      <c r="C76" s="42">
        <v>40732</v>
      </c>
      <c r="D76" s="46">
        <v>85.83</v>
      </c>
      <c r="E76" s="46">
        <v>3.48</v>
      </c>
      <c r="F76" s="46" t="s">
        <v>83</v>
      </c>
      <c r="G76" s="46" t="s">
        <v>83</v>
      </c>
      <c r="H76" s="46" t="s">
        <v>83</v>
      </c>
      <c r="I76" s="46" t="s">
        <v>83</v>
      </c>
      <c r="J76" s="46" t="s">
        <v>83</v>
      </c>
      <c r="K76" s="46">
        <v>215.2771754</v>
      </c>
      <c r="L76" s="46">
        <v>7.9619999999999997</v>
      </c>
      <c r="M76" s="48" t="b">
        <v>0</v>
      </c>
      <c r="N76" s="46">
        <v>0</v>
      </c>
    </row>
    <row r="77" spans="1:14">
      <c r="A77" s="44" t="str">
        <f t="shared" si="1"/>
        <v>1_2011-07-15</v>
      </c>
      <c r="B77" s="50">
        <v>1</v>
      </c>
      <c r="C77" s="42">
        <v>40739</v>
      </c>
      <c r="D77" s="46">
        <v>88.54</v>
      </c>
      <c r="E77" s="46">
        <v>3.5750000000000002</v>
      </c>
      <c r="F77" s="46" t="s">
        <v>83</v>
      </c>
      <c r="G77" s="46" t="s">
        <v>83</v>
      </c>
      <c r="H77" s="46" t="s">
        <v>83</v>
      </c>
      <c r="I77" s="46" t="s">
        <v>83</v>
      </c>
      <c r="J77" s="46" t="s">
        <v>83</v>
      </c>
      <c r="K77" s="46">
        <v>215.36110869999999</v>
      </c>
      <c r="L77" s="46">
        <v>7.9619999999999997</v>
      </c>
      <c r="M77" s="48" t="b">
        <v>0</v>
      </c>
      <c r="N77" s="46">
        <v>0</v>
      </c>
    </row>
    <row r="78" spans="1:14">
      <c r="A78" s="44" t="str">
        <f t="shared" si="1"/>
        <v>1_2011-07-22</v>
      </c>
      <c r="B78" s="50">
        <v>1</v>
      </c>
      <c r="C78" s="42">
        <v>40746</v>
      </c>
      <c r="D78" s="46">
        <v>85.77</v>
      </c>
      <c r="E78" s="46">
        <v>3.6509999999999998</v>
      </c>
      <c r="F78" s="46" t="s">
        <v>83</v>
      </c>
      <c r="G78" s="46" t="s">
        <v>83</v>
      </c>
      <c r="H78" s="46" t="s">
        <v>83</v>
      </c>
      <c r="I78" s="46" t="s">
        <v>83</v>
      </c>
      <c r="J78" s="46" t="s">
        <v>83</v>
      </c>
      <c r="K78" s="46">
        <v>215.42227840000001</v>
      </c>
      <c r="L78" s="46">
        <v>7.9619999999999997</v>
      </c>
      <c r="M78" s="48" t="b">
        <v>0</v>
      </c>
      <c r="N78" s="46">
        <v>0</v>
      </c>
    </row>
    <row r="79" spans="1:14">
      <c r="A79" s="44" t="str">
        <f t="shared" si="1"/>
        <v>1_2011-07-29</v>
      </c>
      <c r="B79" s="50">
        <v>1</v>
      </c>
      <c r="C79" s="42">
        <v>40753</v>
      </c>
      <c r="D79" s="46">
        <v>86.83</v>
      </c>
      <c r="E79" s="46">
        <v>3.6819999999999999</v>
      </c>
      <c r="F79" s="46" t="s">
        <v>83</v>
      </c>
      <c r="G79" s="46" t="s">
        <v>83</v>
      </c>
      <c r="H79" s="46" t="s">
        <v>83</v>
      </c>
      <c r="I79" s="46" t="s">
        <v>83</v>
      </c>
      <c r="J79" s="46" t="s">
        <v>83</v>
      </c>
      <c r="K79" s="46">
        <v>215.4834482</v>
      </c>
      <c r="L79" s="46">
        <v>7.9619999999999997</v>
      </c>
      <c r="M79" s="48" t="b">
        <v>0</v>
      </c>
      <c r="N79" s="46">
        <v>0</v>
      </c>
    </row>
    <row r="80" spans="1:14">
      <c r="A80" s="44" t="str">
        <f t="shared" si="1"/>
        <v>1_2011-08-05</v>
      </c>
      <c r="B80" s="50">
        <v>1</v>
      </c>
      <c r="C80" s="42">
        <v>40760</v>
      </c>
      <c r="D80" s="46">
        <v>91.65</v>
      </c>
      <c r="E80" s="46">
        <v>3.6840000000000002</v>
      </c>
      <c r="F80" s="46" t="s">
        <v>83</v>
      </c>
      <c r="G80" s="46" t="s">
        <v>83</v>
      </c>
      <c r="H80" s="46" t="s">
        <v>83</v>
      </c>
      <c r="I80" s="46" t="s">
        <v>83</v>
      </c>
      <c r="J80" s="46" t="s">
        <v>83</v>
      </c>
      <c r="K80" s="46">
        <v>215.54461800000001</v>
      </c>
      <c r="L80" s="46">
        <v>7.9619999999999997</v>
      </c>
      <c r="M80" s="48" t="b">
        <v>0</v>
      </c>
      <c r="N80" s="46">
        <v>0</v>
      </c>
    </row>
    <row r="81" spans="1:14">
      <c r="A81" s="44" t="str">
        <f t="shared" si="1"/>
        <v>1_2011-08-12</v>
      </c>
      <c r="B81" s="50">
        <v>1</v>
      </c>
      <c r="C81" s="42">
        <v>40767</v>
      </c>
      <c r="D81" s="46">
        <v>90.76</v>
      </c>
      <c r="E81" s="46">
        <v>3.6379999999999999</v>
      </c>
      <c r="F81" s="46" t="s">
        <v>83</v>
      </c>
      <c r="G81" s="46" t="s">
        <v>83</v>
      </c>
      <c r="H81" s="46" t="s">
        <v>83</v>
      </c>
      <c r="I81" s="46" t="s">
        <v>83</v>
      </c>
      <c r="J81" s="46" t="s">
        <v>83</v>
      </c>
      <c r="K81" s="46">
        <v>215.6057878</v>
      </c>
      <c r="L81" s="46">
        <v>7.9619999999999997</v>
      </c>
      <c r="M81" s="48" t="b">
        <v>0</v>
      </c>
      <c r="N81" s="46">
        <v>0</v>
      </c>
    </row>
    <row r="82" spans="1:14">
      <c r="A82" s="44" t="str">
        <f t="shared" si="1"/>
        <v>1_2011-08-19</v>
      </c>
      <c r="B82" s="50">
        <v>1</v>
      </c>
      <c r="C82" s="42">
        <v>40774</v>
      </c>
      <c r="D82" s="46">
        <v>89.94</v>
      </c>
      <c r="E82" s="46">
        <v>3.5539999999999998</v>
      </c>
      <c r="F82" s="46" t="s">
        <v>83</v>
      </c>
      <c r="G82" s="46" t="s">
        <v>83</v>
      </c>
      <c r="H82" s="46" t="s">
        <v>83</v>
      </c>
      <c r="I82" s="46" t="s">
        <v>83</v>
      </c>
      <c r="J82" s="46" t="s">
        <v>83</v>
      </c>
      <c r="K82" s="46">
        <v>215.66931070000001</v>
      </c>
      <c r="L82" s="46">
        <v>7.9619999999999997</v>
      </c>
      <c r="M82" s="48" t="b">
        <v>0</v>
      </c>
      <c r="N82" s="46">
        <v>0</v>
      </c>
    </row>
    <row r="83" spans="1:14">
      <c r="A83" s="44" t="str">
        <f t="shared" si="1"/>
        <v>1_2011-08-26</v>
      </c>
      <c r="B83" s="50">
        <v>1</v>
      </c>
      <c r="C83" s="42">
        <v>40781</v>
      </c>
      <c r="D83" s="46">
        <v>87.96</v>
      </c>
      <c r="E83" s="46">
        <v>3.5230000000000001</v>
      </c>
      <c r="F83" s="46" t="s">
        <v>83</v>
      </c>
      <c r="G83" s="46" t="s">
        <v>83</v>
      </c>
      <c r="H83" s="46" t="s">
        <v>83</v>
      </c>
      <c r="I83" s="46" t="s">
        <v>83</v>
      </c>
      <c r="J83" s="46" t="s">
        <v>83</v>
      </c>
      <c r="K83" s="46">
        <v>215.73322580000001</v>
      </c>
      <c r="L83" s="46">
        <v>7.9619999999999997</v>
      </c>
      <c r="M83" s="48" t="b">
        <v>0</v>
      </c>
      <c r="N83" s="46">
        <v>0</v>
      </c>
    </row>
    <row r="84" spans="1:14">
      <c r="A84" s="44" t="str">
        <f t="shared" si="1"/>
        <v>1_2011-09-02</v>
      </c>
      <c r="B84" s="50">
        <v>1</v>
      </c>
      <c r="C84" s="42">
        <v>40788</v>
      </c>
      <c r="D84" s="46">
        <v>87.83</v>
      </c>
      <c r="E84" s="46">
        <v>3.5329999999999999</v>
      </c>
      <c r="F84" s="46" t="s">
        <v>83</v>
      </c>
      <c r="G84" s="46" t="s">
        <v>83</v>
      </c>
      <c r="H84" s="46" t="s">
        <v>83</v>
      </c>
      <c r="I84" s="46" t="s">
        <v>83</v>
      </c>
      <c r="J84" s="46" t="s">
        <v>83</v>
      </c>
      <c r="K84" s="46">
        <v>215.79714089999999</v>
      </c>
      <c r="L84" s="46">
        <v>7.9619999999999997</v>
      </c>
      <c r="M84" s="48" t="b">
        <v>0</v>
      </c>
      <c r="N84" s="46">
        <v>0</v>
      </c>
    </row>
    <row r="85" spans="1:14">
      <c r="A85" s="44" t="str">
        <f t="shared" si="1"/>
        <v>1_2011-09-09</v>
      </c>
      <c r="B85" s="50">
        <v>1</v>
      </c>
      <c r="C85" s="42">
        <v>40795</v>
      </c>
      <c r="D85" s="46">
        <v>76</v>
      </c>
      <c r="E85" s="46">
        <v>3.5459999999999998</v>
      </c>
      <c r="F85" s="46" t="s">
        <v>83</v>
      </c>
      <c r="G85" s="46" t="s">
        <v>83</v>
      </c>
      <c r="H85" s="46" t="s">
        <v>83</v>
      </c>
      <c r="I85" s="46" t="s">
        <v>83</v>
      </c>
      <c r="J85" s="46" t="s">
        <v>83</v>
      </c>
      <c r="K85" s="46">
        <v>215.86105599999999</v>
      </c>
      <c r="L85" s="46">
        <v>7.9619999999999997</v>
      </c>
      <c r="M85" s="48" t="b">
        <v>1</v>
      </c>
      <c r="N85" s="46">
        <v>0</v>
      </c>
    </row>
    <row r="86" spans="1:14">
      <c r="A86" s="44" t="str">
        <f t="shared" si="1"/>
        <v>1_2011-09-16</v>
      </c>
      <c r="B86" s="50">
        <v>1</v>
      </c>
      <c r="C86" s="42">
        <v>40802</v>
      </c>
      <c r="D86" s="46">
        <v>79.94</v>
      </c>
      <c r="E86" s="46">
        <v>3.5259999999999998</v>
      </c>
      <c r="F86" s="46" t="s">
        <v>83</v>
      </c>
      <c r="G86" s="46" t="s">
        <v>83</v>
      </c>
      <c r="H86" s="46" t="s">
        <v>83</v>
      </c>
      <c r="I86" s="46" t="s">
        <v>83</v>
      </c>
      <c r="J86" s="46" t="s">
        <v>83</v>
      </c>
      <c r="K86" s="46">
        <v>216.0410526</v>
      </c>
      <c r="L86" s="46">
        <v>7.9619999999999997</v>
      </c>
      <c r="M86" s="48" t="b">
        <v>0</v>
      </c>
      <c r="N86" s="46">
        <v>0</v>
      </c>
    </row>
    <row r="87" spans="1:14">
      <c r="A87" s="44" t="str">
        <f t="shared" si="1"/>
        <v>1_2011-09-23</v>
      </c>
      <c r="B87" s="50">
        <v>1</v>
      </c>
      <c r="C87" s="42">
        <v>40809</v>
      </c>
      <c r="D87" s="46">
        <v>75.8</v>
      </c>
      <c r="E87" s="46">
        <v>3.4670000000000001</v>
      </c>
      <c r="F87" s="46" t="s">
        <v>83</v>
      </c>
      <c r="G87" s="46" t="s">
        <v>83</v>
      </c>
      <c r="H87" s="46" t="s">
        <v>83</v>
      </c>
      <c r="I87" s="46" t="s">
        <v>83</v>
      </c>
      <c r="J87" s="46" t="s">
        <v>83</v>
      </c>
      <c r="K87" s="46">
        <v>216.37582459999999</v>
      </c>
      <c r="L87" s="46">
        <v>7.9619999999999997</v>
      </c>
      <c r="M87" s="48" t="b">
        <v>0</v>
      </c>
      <c r="N87" s="46">
        <v>0</v>
      </c>
    </row>
    <row r="88" spans="1:14">
      <c r="A88" s="44" t="str">
        <f t="shared" si="1"/>
        <v>1_2011-09-30</v>
      </c>
      <c r="B88" s="50">
        <v>1</v>
      </c>
      <c r="C88" s="42">
        <v>40816</v>
      </c>
      <c r="D88" s="46">
        <v>79.69</v>
      </c>
      <c r="E88" s="46">
        <v>3.355</v>
      </c>
      <c r="F88" s="46" t="s">
        <v>83</v>
      </c>
      <c r="G88" s="46" t="s">
        <v>83</v>
      </c>
      <c r="H88" s="46" t="s">
        <v>83</v>
      </c>
      <c r="I88" s="46" t="s">
        <v>83</v>
      </c>
      <c r="J88" s="46" t="s">
        <v>83</v>
      </c>
      <c r="K88" s="46">
        <v>216.71059650000001</v>
      </c>
      <c r="L88" s="46">
        <v>7.9619999999999997</v>
      </c>
      <c r="M88" s="48" t="b">
        <v>0</v>
      </c>
      <c r="N88" s="46">
        <v>0</v>
      </c>
    </row>
    <row r="89" spans="1:14">
      <c r="A89" s="44" t="str">
        <f t="shared" si="1"/>
        <v>1_2011-10-07</v>
      </c>
      <c r="B89" s="50">
        <v>1</v>
      </c>
      <c r="C89" s="42">
        <v>40823</v>
      </c>
      <c r="D89" s="46">
        <v>69.31</v>
      </c>
      <c r="E89" s="46">
        <v>3.2850000000000001</v>
      </c>
      <c r="F89" s="46" t="s">
        <v>83</v>
      </c>
      <c r="G89" s="46" t="s">
        <v>83</v>
      </c>
      <c r="H89" s="46" t="s">
        <v>83</v>
      </c>
      <c r="I89" s="46" t="s">
        <v>83</v>
      </c>
      <c r="J89" s="46" t="s">
        <v>83</v>
      </c>
      <c r="K89" s="46">
        <v>217.0453684</v>
      </c>
      <c r="L89" s="46">
        <v>7.8659999999999997</v>
      </c>
      <c r="M89" s="48" t="b">
        <v>0</v>
      </c>
      <c r="N89" s="46">
        <v>0</v>
      </c>
    </row>
    <row r="90" spans="1:14">
      <c r="A90" s="44" t="str">
        <f t="shared" si="1"/>
        <v>1_2011-10-14</v>
      </c>
      <c r="B90" s="50">
        <v>1</v>
      </c>
      <c r="C90" s="42">
        <v>40830</v>
      </c>
      <c r="D90" s="46">
        <v>71.739999999999995</v>
      </c>
      <c r="E90" s="46">
        <v>3.274</v>
      </c>
      <c r="F90" s="46" t="s">
        <v>83</v>
      </c>
      <c r="G90" s="46" t="s">
        <v>83</v>
      </c>
      <c r="H90" s="46" t="s">
        <v>83</v>
      </c>
      <c r="I90" s="46" t="s">
        <v>83</v>
      </c>
      <c r="J90" s="46" t="s">
        <v>83</v>
      </c>
      <c r="K90" s="46">
        <v>217.35527329999999</v>
      </c>
      <c r="L90" s="46">
        <v>7.8659999999999997</v>
      </c>
      <c r="M90" s="48" t="b">
        <v>0</v>
      </c>
      <c r="N90" s="46">
        <v>0</v>
      </c>
    </row>
    <row r="91" spans="1:14">
      <c r="A91" s="44" t="str">
        <f t="shared" si="1"/>
        <v>1_2011-10-21</v>
      </c>
      <c r="B91" s="50">
        <v>1</v>
      </c>
      <c r="C91" s="42">
        <v>40837</v>
      </c>
      <c r="D91" s="46">
        <v>63.71</v>
      </c>
      <c r="E91" s="46">
        <v>3.3530000000000002</v>
      </c>
      <c r="F91" s="46" t="s">
        <v>83</v>
      </c>
      <c r="G91" s="46" t="s">
        <v>83</v>
      </c>
      <c r="H91" s="46" t="s">
        <v>83</v>
      </c>
      <c r="I91" s="46" t="s">
        <v>83</v>
      </c>
      <c r="J91" s="46" t="s">
        <v>83</v>
      </c>
      <c r="K91" s="46">
        <v>217.51597620000001</v>
      </c>
      <c r="L91" s="46">
        <v>7.8659999999999997</v>
      </c>
      <c r="M91" s="48" t="b">
        <v>0</v>
      </c>
      <c r="N91" s="46">
        <v>0</v>
      </c>
    </row>
    <row r="92" spans="1:14">
      <c r="A92" s="44" t="str">
        <f t="shared" si="1"/>
        <v>1_2011-10-28</v>
      </c>
      <c r="B92" s="50">
        <v>1</v>
      </c>
      <c r="C92" s="42">
        <v>40844</v>
      </c>
      <c r="D92" s="46">
        <v>66.569999999999993</v>
      </c>
      <c r="E92" s="46">
        <v>3.3719999999999999</v>
      </c>
      <c r="F92" s="46" t="s">
        <v>83</v>
      </c>
      <c r="G92" s="46" t="s">
        <v>83</v>
      </c>
      <c r="H92" s="46" t="s">
        <v>83</v>
      </c>
      <c r="I92" s="46" t="s">
        <v>83</v>
      </c>
      <c r="J92" s="46" t="s">
        <v>83</v>
      </c>
      <c r="K92" s="46">
        <v>217.6766791</v>
      </c>
      <c r="L92" s="46">
        <v>7.8659999999999997</v>
      </c>
      <c r="M92" s="48" t="b">
        <v>0</v>
      </c>
      <c r="N92" s="46">
        <v>0</v>
      </c>
    </row>
    <row r="93" spans="1:14">
      <c r="A93" s="44" t="str">
        <f t="shared" si="1"/>
        <v>1_2011-11-04</v>
      </c>
      <c r="B93" s="50">
        <v>1</v>
      </c>
      <c r="C93" s="42">
        <v>40851</v>
      </c>
      <c r="D93" s="46">
        <v>54.98</v>
      </c>
      <c r="E93" s="46">
        <v>3.3319999999999999</v>
      </c>
      <c r="F93" s="46" t="s">
        <v>83</v>
      </c>
      <c r="G93" s="46" t="s">
        <v>83</v>
      </c>
      <c r="H93" s="46" t="s">
        <v>83</v>
      </c>
      <c r="I93" s="46" t="s">
        <v>83</v>
      </c>
      <c r="J93" s="46" t="s">
        <v>83</v>
      </c>
      <c r="K93" s="46">
        <v>217.83738199999999</v>
      </c>
      <c r="L93" s="46">
        <v>7.8659999999999997</v>
      </c>
      <c r="M93" s="48" t="b">
        <v>0</v>
      </c>
      <c r="N93" s="46">
        <v>0</v>
      </c>
    </row>
    <row r="94" spans="1:14">
      <c r="A94" s="44" t="str">
        <f t="shared" si="1"/>
        <v>1_2011-11-11</v>
      </c>
      <c r="B94" s="50">
        <v>1</v>
      </c>
      <c r="C94" s="42">
        <v>40858</v>
      </c>
      <c r="D94" s="46">
        <v>59.11</v>
      </c>
      <c r="E94" s="46">
        <v>3.2970000000000002</v>
      </c>
      <c r="F94" s="46">
        <v>10382.9</v>
      </c>
      <c r="G94" s="46">
        <v>6115.67</v>
      </c>
      <c r="H94" s="46">
        <v>215.07</v>
      </c>
      <c r="I94" s="46">
        <v>2406.62</v>
      </c>
      <c r="J94" s="46">
        <v>6551.42</v>
      </c>
      <c r="K94" s="46">
        <v>217.99808490000001</v>
      </c>
      <c r="L94" s="46">
        <v>7.8659999999999997</v>
      </c>
      <c r="M94" s="48" t="b">
        <v>0</v>
      </c>
      <c r="N94" s="46">
        <v>25671.68</v>
      </c>
    </row>
    <row r="95" spans="1:14">
      <c r="A95" s="44" t="str">
        <f t="shared" si="1"/>
        <v>1_2011-11-18</v>
      </c>
      <c r="B95" s="50">
        <v>1</v>
      </c>
      <c r="C95" s="42">
        <v>40865</v>
      </c>
      <c r="D95" s="46">
        <v>62.25</v>
      </c>
      <c r="E95" s="46">
        <v>3.3079999999999998</v>
      </c>
      <c r="F95" s="46">
        <v>6074.12</v>
      </c>
      <c r="G95" s="46">
        <v>254.39</v>
      </c>
      <c r="H95" s="46">
        <v>51.98</v>
      </c>
      <c r="I95" s="46">
        <v>427.39</v>
      </c>
      <c r="J95" s="46">
        <v>5988.57</v>
      </c>
      <c r="K95" s="46">
        <v>218.2205088</v>
      </c>
      <c r="L95" s="46">
        <v>7.8659999999999997</v>
      </c>
      <c r="M95" s="48" t="b">
        <v>0</v>
      </c>
      <c r="N95" s="46">
        <v>12796.45</v>
      </c>
    </row>
    <row r="96" spans="1:14">
      <c r="A96" s="44" t="str">
        <f t="shared" si="1"/>
        <v>1_2011-11-25</v>
      </c>
      <c r="B96" s="50">
        <v>1</v>
      </c>
      <c r="C96" s="42">
        <v>40872</v>
      </c>
      <c r="D96" s="46">
        <v>60.14</v>
      </c>
      <c r="E96" s="46">
        <v>3.2360000000000002</v>
      </c>
      <c r="F96" s="46">
        <v>410.31</v>
      </c>
      <c r="G96" s="46">
        <v>98</v>
      </c>
      <c r="H96" s="46">
        <v>55805.51</v>
      </c>
      <c r="I96" s="46">
        <v>8</v>
      </c>
      <c r="J96" s="46">
        <v>554.91999999999996</v>
      </c>
      <c r="K96" s="46">
        <v>218.4676211</v>
      </c>
      <c r="L96" s="46">
        <v>7.8659999999999997</v>
      </c>
      <c r="M96" s="48" t="b">
        <v>1</v>
      </c>
      <c r="N96" s="46">
        <v>56876.74</v>
      </c>
    </row>
    <row r="97" spans="1:14">
      <c r="A97" s="44" t="str">
        <f t="shared" si="1"/>
        <v>1_2011-12-02</v>
      </c>
      <c r="B97" s="50">
        <v>1</v>
      </c>
      <c r="C97" s="42">
        <v>40879</v>
      </c>
      <c r="D97" s="46">
        <v>48.91</v>
      </c>
      <c r="E97" s="46">
        <v>3.1720000000000002</v>
      </c>
      <c r="F97" s="46">
        <v>5629.51</v>
      </c>
      <c r="G97" s="46">
        <v>68</v>
      </c>
      <c r="H97" s="46">
        <v>1398.11</v>
      </c>
      <c r="I97" s="46">
        <v>2084.64</v>
      </c>
      <c r="J97" s="46">
        <v>20475.32</v>
      </c>
      <c r="K97" s="46">
        <v>218.71473330000001</v>
      </c>
      <c r="L97" s="46">
        <v>7.8659999999999997</v>
      </c>
      <c r="M97" s="48" t="b">
        <v>0</v>
      </c>
      <c r="N97" s="46">
        <v>29655.58</v>
      </c>
    </row>
    <row r="98" spans="1:14">
      <c r="A98" s="44" t="str">
        <f t="shared" si="1"/>
        <v>1_2011-12-09</v>
      </c>
      <c r="B98" s="50">
        <v>1</v>
      </c>
      <c r="C98" s="42">
        <v>40886</v>
      </c>
      <c r="D98" s="46">
        <v>43.93</v>
      </c>
      <c r="E98" s="46">
        <v>3.1579999999999999</v>
      </c>
      <c r="F98" s="46">
        <v>4640.6499999999996</v>
      </c>
      <c r="G98" s="46">
        <v>19</v>
      </c>
      <c r="H98" s="46">
        <v>105.02</v>
      </c>
      <c r="I98" s="46">
        <v>3639.42</v>
      </c>
      <c r="J98" s="46">
        <v>14461.82</v>
      </c>
      <c r="K98" s="46">
        <v>218.9618456</v>
      </c>
      <c r="L98" s="46">
        <v>7.8659999999999997</v>
      </c>
      <c r="M98" s="48" t="b">
        <v>0</v>
      </c>
      <c r="N98" s="46">
        <v>22865.91</v>
      </c>
    </row>
    <row r="99" spans="1:14">
      <c r="A99" s="44" t="str">
        <f t="shared" si="1"/>
        <v>1_2011-12-16</v>
      </c>
      <c r="B99" s="50">
        <v>1</v>
      </c>
      <c r="C99" s="42">
        <v>40893</v>
      </c>
      <c r="D99" s="46">
        <v>51.63</v>
      </c>
      <c r="E99" s="46">
        <v>3.1589999999999998</v>
      </c>
      <c r="F99" s="46">
        <v>5011.32</v>
      </c>
      <c r="G99" s="46">
        <v>67</v>
      </c>
      <c r="H99" s="46">
        <v>347.37</v>
      </c>
      <c r="I99" s="46">
        <v>225.79</v>
      </c>
      <c r="J99" s="46">
        <v>4011.37</v>
      </c>
      <c r="K99" s="46">
        <v>219.17945330000001</v>
      </c>
      <c r="L99" s="46">
        <v>7.8659999999999997</v>
      </c>
      <c r="M99" s="48" t="b">
        <v>0</v>
      </c>
      <c r="N99" s="46">
        <v>9662.85</v>
      </c>
    </row>
    <row r="100" spans="1:14">
      <c r="A100" s="44" t="str">
        <f t="shared" si="1"/>
        <v>1_2011-12-23</v>
      </c>
      <c r="B100" s="50">
        <v>1</v>
      </c>
      <c r="C100" s="42">
        <v>40900</v>
      </c>
      <c r="D100" s="46">
        <v>47.96</v>
      </c>
      <c r="E100" s="46">
        <v>3.1120000000000001</v>
      </c>
      <c r="F100" s="46">
        <v>2725.36</v>
      </c>
      <c r="G100" s="46">
        <v>40.479999999999997</v>
      </c>
      <c r="H100" s="46">
        <v>634.70000000000005</v>
      </c>
      <c r="I100" s="46">
        <v>24.9</v>
      </c>
      <c r="J100" s="46">
        <v>2739.43</v>
      </c>
      <c r="K100" s="46">
        <v>219.35772159999999</v>
      </c>
      <c r="L100" s="46">
        <v>7.8659999999999997</v>
      </c>
      <c r="M100" s="48" t="b">
        <v>0</v>
      </c>
      <c r="N100" s="46">
        <v>6164.87</v>
      </c>
    </row>
    <row r="101" spans="1:14">
      <c r="A101" s="44" t="str">
        <f t="shared" si="1"/>
        <v>1_2011-12-30</v>
      </c>
      <c r="B101" s="50">
        <v>1</v>
      </c>
      <c r="C101" s="42">
        <v>40907</v>
      </c>
      <c r="D101" s="46">
        <v>44.55</v>
      </c>
      <c r="E101" s="46">
        <v>3.129</v>
      </c>
      <c r="F101" s="46">
        <v>5762.1</v>
      </c>
      <c r="G101" s="46">
        <v>46011.38</v>
      </c>
      <c r="H101" s="46">
        <v>260.36</v>
      </c>
      <c r="I101" s="46">
        <v>983.65</v>
      </c>
      <c r="J101" s="46">
        <v>4735.78</v>
      </c>
      <c r="K101" s="46">
        <v>219.53598980000001</v>
      </c>
      <c r="L101" s="46">
        <v>7.8659999999999997</v>
      </c>
      <c r="M101" s="48" t="b">
        <v>1</v>
      </c>
      <c r="N101" s="46">
        <v>57753.27</v>
      </c>
    </row>
    <row r="102" spans="1:14">
      <c r="A102" s="44" t="str">
        <f t="shared" si="1"/>
        <v>1_2012-01-06</v>
      </c>
      <c r="B102" s="50">
        <v>1</v>
      </c>
      <c r="C102" s="42">
        <v>40914</v>
      </c>
      <c r="D102" s="46">
        <v>49.01</v>
      </c>
      <c r="E102" s="46">
        <v>3.157</v>
      </c>
      <c r="F102" s="46">
        <v>6277.39</v>
      </c>
      <c r="G102" s="46">
        <v>21813.16</v>
      </c>
      <c r="H102" s="46">
        <v>143.1</v>
      </c>
      <c r="I102" s="46">
        <v>1450.13</v>
      </c>
      <c r="J102" s="46">
        <v>8483</v>
      </c>
      <c r="K102" s="46">
        <v>219.7142581</v>
      </c>
      <c r="L102" s="46">
        <v>7.3479999999999999</v>
      </c>
      <c r="M102" s="48" t="b">
        <v>0</v>
      </c>
      <c r="N102" s="46">
        <v>38166.78</v>
      </c>
    </row>
    <row r="103" spans="1:14">
      <c r="A103" s="44" t="str">
        <f t="shared" si="1"/>
        <v>1_2012-01-13</v>
      </c>
      <c r="B103" s="50">
        <v>1</v>
      </c>
      <c r="C103" s="42">
        <v>40921</v>
      </c>
      <c r="D103" s="46">
        <v>48.53</v>
      </c>
      <c r="E103" s="46">
        <v>3.2610000000000001</v>
      </c>
      <c r="F103" s="46">
        <v>5183.29</v>
      </c>
      <c r="G103" s="46">
        <v>8025.87</v>
      </c>
      <c r="H103" s="46">
        <v>42.24</v>
      </c>
      <c r="I103" s="46">
        <v>453.08</v>
      </c>
      <c r="J103" s="46">
        <v>3719.38</v>
      </c>
      <c r="K103" s="46">
        <v>219.89252629999999</v>
      </c>
      <c r="L103" s="46">
        <v>7.3479999999999999</v>
      </c>
      <c r="M103" s="48" t="b">
        <v>0</v>
      </c>
      <c r="N103" s="46">
        <v>17423.86</v>
      </c>
    </row>
    <row r="104" spans="1:14">
      <c r="A104" s="44" t="str">
        <f t="shared" si="1"/>
        <v>1_2012-01-20</v>
      </c>
      <c r="B104" s="50">
        <v>1</v>
      </c>
      <c r="C104" s="42">
        <v>40928</v>
      </c>
      <c r="D104" s="46">
        <v>54.11</v>
      </c>
      <c r="E104" s="46">
        <v>3.2679999999999998</v>
      </c>
      <c r="F104" s="46">
        <v>4139.87</v>
      </c>
      <c r="G104" s="46">
        <v>2807.19</v>
      </c>
      <c r="H104" s="46">
        <v>33.880000000000003</v>
      </c>
      <c r="I104" s="46">
        <v>500.62</v>
      </c>
      <c r="J104" s="46">
        <v>3400.21</v>
      </c>
      <c r="K104" s="46">
        <v>219.98568929999999</v>
      </c>
      <c r="L104" s="46">
        <v>7.3479999999999999</v>
      </c>
      <c r="M104" s="48" t="b">
        <v>0</v>
      </c>
      <c r="N104" s="46">
        <v>10881.77</v>
      </c>
    </row>
    <row r="105" spans="1:14">
      <c r="A105" s="44" t="str">
        <f t="shared" si="1"/>
        <v>1_2012-01-27</v>
      </c>
      <c r="B105" s="50">
        <v>1</v>
      </c>
      <c r="C105" s="42">
        <v>40935</v>
      </c>
      <c r="D105" s="46">
        <v>54.26</v>
      </c>
      <c r="E105" s="46">
        <v>3.29</v>
      </c>
      <c r="F105" s="46">
        <v>1164.46</v>
      </c>
      <c r="G105" s="46">
        <v>1082.74</v>
      </c>
      <c r="H105" s="46">
        <v>44</v>
      </c>
      <c r="I105" s="46">
        <v>11</v>
      </c>
      <c r="J105" s="46">
        <v>1222.19</v>
      </c>
      <c r="K105" s="46">
        <v>220.07885229999999</v>
      </c>
      <c r="L105" s="46">
        <v>7.3479999999999999</v>
      </c>
      <c r="M105" s="48" t="b">
        <v>0</v>
      </c>
      <c r="N105" s="46">
        <v>3524.39</v>
      </c>
    </row>
    <row r="106" spans="1:14">
      <c r="A106" s="44" t="str">
        <f t="shared" si="1"/>
        <v>1_2012-02-03</v>
      </c>
      <c r="B106" s="50">
        <v>1</v>
      </c>
      <c r="C106" s="42">
        <v>40942</v>
      </c>
      <c r="D106" s="46">
        <v>56.55</v>
      </c>
      <c r="E106" s="46">
        <v>3.36</v>
      </c>
      <c r="F106" s="46">
        <v>34577.06</v>
      </c>
      <c r="G106" s="46">
        <v>3579.21</v>
      </c>
      <c r="H106" s="46">
        <v>160.53</v>
      </c>
      <c r="I106" s="46">
        <v>32403.87</v>
      </c>
      <c r="J106" s="46">
        <v>5630.4</v>
      </c>
      <c r="K106" s="46">
        <v>220.1720153</v>
      </c>
      <c r="L106" s="46">
        <v>7.3479999999999999</v>
      </c>
      <c r="M106" s="48" t="b">
        <v>0</v>
      </c>
      <c r="N106" s="46">
        <v>76351.070000000007</v>
      </c>
    </row>
    <row r="107" spans="1:14">
      <c r="A107" s="44" t="str">
        <f t="shared" si="1"/>
        <v>1_2012-02-10</v>
      </c>
      <c r="B107" s="50">
        <v>1</v>
      </c>
      <c r="C107" s="42">
        <v>40949</v>
      </c>
      <c r="D107" s="46">
        <v>48.02</v>
      </c>
      <c r="E107" s="46">
        <v>3.4089999999999998</v>
      </c>
      <c r="F107" s="46">
        <v>13925.06</v>
      </c>
      <c r="G107" s="46">
        <v>6927.23</v>
      </c>
      <c r="H107" s="46">
        <v>101.64</v>
      </c>
      <c r="I107" s="46">
        <v>8471.8799999999992</v>
      </c>
      <c r="J107" s="46">
        <v>6886.04</v>
      </c>
      <c r="K107" s="46">
        <v>220.2651783</v>
      </c>
      <c r="L107" s="46">
        <v>7.3479999999999999</v>
      </c>
      <c r="M107" s="48" t="b">
        <v>1</v>
      </c>
      <c r="N107" s="46">
        <v>36311.85</v>
      </c>
    </row>
    <row r="108" spans="1:14">
      <c r="A108" s="44" t="str">
        <f t="shared" si="1"/>
        <v>1_2012-02-17</v>
      </c>
      <c r="B108" s="50">
        <v>1</v>
      </c>
      <c r="C108" s="42">
        <v>40956</v>
      </c>
      <c r="D108" s="46">
        <v>45.32</v>
      </c>
      <c r="E108" s="46">
        <v>3.51</v>
      </c>
      <c r="F108" s="46">
        <v>9873.33</v>
      </c>
      <c r="G108" s="46">
        <v>11062.27</v>
      </c>
      <c r="H108" s="46">
        <v>9.8000000000000007</v>
      </c>
      <c r="I108" s="46">
        <v>8409.31</v>
      </c>
      <c r="J108" s="46">
        <v>3402.66</v>
      </c>
      <c r="K108" s="46">
        <v>220.42575859999999</v>
      </c>
      <c r="L108" s="46">
        <v>7.3479999999999999</v>
      </c>
      <c r="M108" s="48" t="b">
        <v>0</v>
      </c>
      <c r="N108" s="46">
        <v>32757.37</v>
      </c>
    </row>
    <row r="109" spans="1:14">
      <c r="A109" s="44" t="str">
        <f t="shared" si="1"/>
        <v>1_2012-02-24</v>
      </c>
      <c r="B109" s="50">
        <v>1</v>
      </c>
      <c r="C109" s="42">
        <v>40963</v>
      </c>
      <c r="D109" s="46">
        <v>57.25</v>
      </c>
      <c r="E109" s="46">
        <v>3.5550000000000002</v>
      </c>
      <c r="F109" s="46">
        <v>9349.61</v>
      </c>
      <c r="G109" s="46">
        <v>7556.01</v>
      </c>
      <c r="H109" s="46">
        <v>3.2</v>
      </c>
      <c r="I109" s="46">
        <v>1219.92</v>
      </c>
      <c r="J109" s="46">
        <v>8143.59</v>
      </c>
      <c r="K109" s="46">
        <v>220.63690199999999</v>
      </c>
      <c r="L109" s="46">
        <v>7.3479999999999999</v>
      </c>
      <c r="M109" s="48" t="b">
        <v>0</v>
      </c>
      <c r="N109" s="46">
        <v>26272.33</v>
      </c>
    </row>
    <row r="110" spans="1:14">
      <c r="A110" s="44" t="str">
        <f t="shared" si="1"/>
        <v>1_2012-03-02</v>
      </c>
      <c r="B110" s="50">
        <v>1</v>
      </c>
      <c r="C110" s="42">
        <v>40970</v>
      </c>
      <c r="D110" s="46">
        <v>60.96</v>
      </c>
      <c r="E110" s="46">
        <v>3.63</v>
      </c>
      <c r="F110" s="46">
        <v>15441.4</v>
      </c>
      <c r="G110" s="46">
        <v>1569</v>
      </c>
      <c r="H110" s="46">
        <v>10.8</v>
      </c>
      <c r="I110" s="46">
        <v>25390.880000000001</v>
      </c>
      <c r="J110" s="46">
        <v>8067.61</v>
      </c>
      <c r="K110" s="46">
        <v>220.84804539999999</v>
      </c>
      <c r="L110" s="46">
        <v>7.3479999999999999</v>
      </c>
      <c r="M110" s="48" t="b">
        <v>0</v>
      </c>
      <c r="N110" s="46">
        <v>50479.69</v>
      </c>
    </row>
    <row r="111" spans="1:14">
      <c r="A111" s="44" t="str">
        <f t="shared" si="1"/>
        <v>1_2012-03-09</v>
      </c>
      <c r="B111" s="50">
        <v>1</v>
      </c>
      <c r="C111" s="42">
        <v>40977</v>
      </c>
      <c r="D111" s="46">
        <v>58.76</v>
      </c>
      <c r="E111" s="46">
        <v>3.669</v>
      </c>
      <c r="F111" s="46">
        <v>10331.040000000001</v>
      </c>
      <c r="G111" s="46">
        <v>151.88</v>
      </c>
      <c r="H111" s="46">
        <v>6</v>
      </c>
      <c r="I111" s="46">
        <v>671.43</v>
      </c>
      <c r="J111" s="46">
        <v>5509.84</v>
      </c>
      <c r="K111" s="46">
        <v>221.05918869999999</v>
      </c>
      <c r="L111" s="46">
        <v>7.3479999999999999</v>
      </c>
      <c r="M111" s="48" t="b">
        <v>0</v>
      </c>
      <c r="N111" s="46">
        <v>16670.189999999999</v>
      </c>
    </row>
    <row r="112" spans="1:14">
      <c r="A112" s="44" t="str">
        <f t="shared" si="1"/>
        <v>1_2012-03-16</v>
      </c>
      <c r="B112" s="50">
        <v>1</v>
      </c>
      <c r="C112" s="42">
        <v>40984</v>
      </c>
      <c r="D112" s="46">
        <v>64.739999999999995</v>
      </c>
      <c r="E112" s="46">
        <v>3.734</v>
      </c>
      <c r="F112" s="46">
        <v>4298.16</v>
      </c>
      <c r="G112" s="46">
        <v>7.5</v>
      </c>
      <c r="H112" s="46">
        <v>2.02</v>
      </c>
      <c r="I112" s="46">
        <v>2724.65</v>
      </c>
      <c r="J112" s="46">
        <v>2017.69</v>
      </c>
      <c r="K112" s="46">
        <v>221.21181319999999</v>
      </c>
      <c r="L112" s="46">
        <v>7.3479999999999999</v>
      </c>
      <c r="M112" s="48" t="b">
        <v>0</v>
      </c>
      <c r="N112" s="46">
        <v>9050.02</v>
      </c>
    </row>
    <row r="113" spans="1:14">
      <c r="A113" s="44" t="str">
        <f t="shared" si="1"/>
        <v>1_2012-03-23</v>
      </c>
      <c r="B113" s="50">
        <v>1</v>
      </c>
      <c r="C113" s="42">
        <v>40991</v>
      </c>
      <c r="D113" s="46">
        <v>65.930000000000007</v>
      </c>
      <c r="E113" s="46">
        <v>3.7869999999999999</v>
      </c>
      <c r="F113" s="46">
        <v>6118.56</v>
      </c>
      <c r="G113" s="46">
        <v>9.48</v>
      </c>
      <c r="H113" s="46">
        <v>4.97</v>
      </c>
      <c r="I113" s="46">
        <v>426.72</v>
      </c>
      <c r="J113" s="46">
        <v>3657.22</v>
      </c>
      <c r="K113" s="46">
        <v>221.28641260000001</v>
      </c>
      <c r="L113" s="46">
        <v>7.3479999999999999</v>
      </c>
      <c r="M113" s="48" t="b">
        <v>0</v>
      </c>
      <c r="N113" s="46">
        <v>10216.950000000001</v>
      </c>
    </row>
    <row r="114" spans="1:14">
      <c r="A114" s="44" t="str">
        <f t="shared" si="1"/>
        <v>1_2012-03-30</v>
      </c>
      <c r="B114" s="50">
        <v>1</v>
      </c>
      <c r="C114" s="42">
        <v>40998</v>
      </c>
      <c r="D114" s="46">
        <v>67.61</v>
      </c>
      <c r="E114" s="46">
        <v>3.8450000000000002</v>
      </c>
      <c r="F114" s="46">
        <v>10309.58</v>
      </c>
      <c r="G114" s="46">
        <v>0.5</v>
      </c>
      <c r="H114" s="46">
        <v>10.25</v>
      </c>
      <c r="I114" s="46">
        <v>1654.17</v>
      </c>
      <c r="J114" s="46">
        <v>2642.78</v>
      </c>
      <c r="K114" s="46">
        <v>221.36101189999999</v>
      </c>
      <c r="L114" s="46">
        <v>7.3479999999999999</v>
      </c>
      <c r="M114" s="48" t="b">
        <v>0</v>
      </c>
      <c r="N114" s="46">
        <v>14617.28</v>
      </c>
    </row>
    <row r="115" spans="1:14">
      <c r="A115" s="44" t="str">
        <f t="shared" si="1"/>
        <v>1_2012-04-06</v>
      </c>
      <c r="B115" s="50">
        <v>1</v>
      </c>
      <c r="C115" s="42">
        <v>41005</v>
      </c>
      <c r="D115" s="46">
        <v>70.430000000000007</v>
      </c>
      <c r="E115" s="46">
        <v>3.891</v>
      </c>
      <c r="F115" s="46">
        <v>10121.969999999999</v>
      </c>
      <c r="G115" s="46" t="s">
        <v>83</v>
      </c>
      <c r="H115" s="46">
        <v>77.98</v>
      </c>
      <c r="I115" s="46">
        <v>3750.59</v>
      </c>
      <c r="J115" s="46">
        <v>4510.72</v>
      </c>
      <c r="K115" s="46">
        <v>221.43561120000001</v>
      </c>
      <c r="L115" s="46">
        <v>7.1429999999999998</v>
      </c>
      <c r="M115" s="48" t="b">
        <v>0</v>
      </c>
      <c r="N115" s="46">
        <v>18461.259999999998</v>
      </c>
    </row>
    <row r="116" spans="1:14">
      <c r="A116" s="44" t="str">
        <f t="shared" si="1"/>
        <v>1_2012-04-13</v>
      </c>
      <c r="B116" s="50">
        <v>1</v>
      </c>
      <c r="C116" s="42">
        <v>41012</v>
      </c>
      <c r="D116" s="46">
        <v>69.069999999999993</v>
      </c>
      <c r="E116" s="46">
        <v>3.891</v>
      </c>
      <c r="F116" s="46">
        <v>6186.19</v>
      </c>
      <c r="G116" s="46">
        <v>3288.69</v>
      </c>
      <c r="H116" s="46">
        <v>17.07</v>
      </c>
      <c r="I116" s="46">
        <v>1822.55</v>
      </c>
      <c r="J116" s="46">
        <v>1063.78</v>
      </c>
      <c r="K116" s="46">
        <v>221.5102105</v>
      </c>
      <c r="L116" s="46">
        <v>7.1429999999999998</v>
      </c>
      <c r="M116" s="48" t="b">
        <v>0</v>
      </c>
      <c r="N116" s="46">
        <v>12378.28</v>
      </c>
    </row>
    <row r="117" spans="1:14">
      <c r="A117" s="44" t="str">
        <f t="shared" si="1"/>
        <v>1_2012-04-20</v>
      </c>
      <c r="B117" s="50">
        <v>1</v>
      </c>
      <c r="C117" s="42">
        <v>41019</v>
      </c>
      <c r="D117" s="46">
        <v>66.760000000000005</v>
      </c>
      <c r="E117" s="46">
        <v>3.8769999999999998</v>
      </c>
      <c r="F117" s="46">
        <v>2230.8000000000002</v>
      </c>
      <c r="G117" s="46">
        <v>612.02</v>
      </c>
      <c r="H117" s="46">
        <v>19.75</v>
      </c>
      <c r="I117" s="46">
        <v>275.13</v>
      </c>
      <c r="J117" s="46">
        <v>5747.1</v>
      </c>
      <c r="K117" s="46">
        <v>221.56407369999999</v>
      </c>
      <c r="L117" s="46">
        <v>7.1429999999999998</v>
      </c>
      <c r="M117" s="48" t="b">
        <v>0</v>
      </c>
      <c r="N117" s="46">
        <v>8884.7999999999993</v>
      </c>
    </row>
    <row r="118" spans="1:14">
      <c r="A118" s="44" t="str">
        <f t="shared" si="1"/>
        <v>1_2012-04-27</v>
      </c>
      <c r="B118" s="50">
        <v>1</v>
      </c>
      <c r="C118" s="42">
        <v>41026</v>
      </c>
      <c r="D118" s="46">
        <v>67.23</v>
      </c>
      <c r="E118" s="46">
        <v>3.8140000000000001</v>
      </c>
      <c r="F118" s="46">
        <v>3221.25</v>
      </c>
      <c r="G118" s="46" t="s">
        <v>83</v>
      </c>
      <c r="H118" s="46">
        <v>35.49</v>
      </c>
      <c r="I118" s="46">
        <v>577.14</v>
      </c>
      <c r="J118" s="46">
        <v>6222.25</v>
      </c>
      <c r="K118" s="46">
        <v>221.6179368</v>
      </c>
      <c r="L118" s="46">
        <v>7.1429999999999998</v>
      </c>
      <c r="M118" s="48" t="b">
        <v>0</v>
      </c>
      <c r="N118" s="46">
        <v>10056.129999999999</v>
      </c>
    </row>
    <row r="119" spans="1:14">
      <c r="A119" s="44" t="str">
        <f t="shared" si="1"/>
        <v>1_2012-05-04</v>
      </c>
      <c r="B119" s="50">
        <v>1</v>
      </c>
      <c r="C119" s="42">
        <v>41033</v>
      </c>
      <c r="D119" s="46">
        <v>75.55</v>
      </c>
      <c r="E119" s="46">
        <v>3.7490000000000001</v>
      </c>
      <c r="F119" s="46">
        <v>21290.13</v>
      </c>
      <c r="G119" s="46" t="s">
        <v>83</v>
      </c>
      <c r="H119" s="46">
        <v>69.89</v>
      </c>
      <c r="I119" s="46">
        <v>4977.3500000000004</v>
      </c>
      <c r="J119" s="46">
        <v>3261.04</v>
      </c>
      <c r="K119" s="46">
        <v>221.67179999999999</v>
      </c>
      <c r="L119" s="46">
        <v>7.1429999999999998</v>
      </c>
      <c r="M119" s="48" t="b">
        <v>0</v>
      </c>
      <c r="N119" s="46">
        <v>29598.41</v>
      </c>
    </row>
    <row r="120" spans="1:14">
      <c r="A120" s="44" t="str">
        <f t="shared" si="1"/>
        <v>1_2012-05-11</v>
      </c>
      <c r="B120" s="50">
        <v>1</v>
      </c>
      <c r="C120" s="42">
        <v>41040</v>
      </c>
      <c r="D120" s="46">
        <v>73.77</v>
      </c>
      <c r="E120" s="46">
        <v>3.6880000000000002</v>
      </c>
      <c r="F120" s="46">
        <v>8351.4</v>
      </c>
      <c r="G120" s="46" t="s">
        <v>83</v>
      </c>
      <c r="H120" s="46">
        <v>10.52</v>
      </c>
      <c r="I120" s="46">
        <v>2443.14</v>
      </c>
      <c r="J120" s="46">
        <v>3127.88</v>
      </c>
      <c r="K120" s="46">
        <v>221.72566320000001</v>
      </c>
      <c r="L120" s="46">
        <v>7.1429999999999998</v>
      </c>
      <c r="M120" s="48" t="b">
        <v>0</v>
      </c>
      <c r="N120" s="46">
        <v>13932.94</v>
      </c>
    </row>
    <row r="121" spans="1:14">
      <c r="A121" s="44" t="str">
        <f t="shared" si="1"/>
        <v>1_2012-05-18</v>
      </c>
      <c r="B121" s="50">
        <v>1</v>
      </c>
      <c r="C121" s="42">
        <v>41047</v>
      </c>
      <c r="D121" s="46">
        <v>70.33</v>
      </c>
      <c r="E121" s="46">
        <v>3.63</v>
      </c>
      <c r="F121" s="46">
        <v>6154.14</v>
      </c>
      <c r="G121" s="46" t="s">
        <v>83</v>
      </c>
      <c r="H121" s="46">
        <v>45.11</v>
      </c>
      <c r="I121" s="46">
        <v>1675.49</v>
      </c>
      <c r="J121" s="46">
        <v>5508.18</v>
      </c>
      <c r="K121" s="46">
        <v>221.74267399999999</v>
      </c>
      <c r="L121" s="46">
        <v>7.1429999999999998</v>
      </c>
      <c r="M121" s="48" t="b">
        <v>0</v>
      </c>
      <c r="N121" s="46">
        <v>13382.92</v>
      </c>
    </row>
    <row r="122" spans="1:14">
      <c r="A122" s="44" t="str">
        <f t="shared" si="1"/>
        <v>1_2012-05-25</v>
      </c>
      <c r="B122" s="50">
        <v>1</v>
      </c>
      <c r="C122" s="42">
        <v>41054</v>
      </c>
      <c r="D122" s="46">
        <v>77.22</v>
      </c>
      <c r="E122" s="46">
        <v>3.5609999999999999</v>
      </c>
      <c r="F122" s="46">
        <v>4039.39</v>
      </c>
      <c r="G122" s="46" t="s">
        <v>83</v>
      </c>
      <c r="H122" s="46">
        <v>745.19</v>
      </c>
      <c r="I122" s="46">
        <v>1429.96</v>
      </c>
      <c r="J122" s="46">
        <v>3631.13</v>
      </c>
      <c r="K122" s="46">
        <v>221.744944</v>
      </c>
      <c r="L122" s="46">
        <v>7.1429999999999998</v>
      </c>
      <c r="M122" s="48" t="b">
        <v>0</v>
      </c>
      <c r="N122" s="46">
        <v>9845.67</v>
      </c>
    </row>
    <row r="123" spans="1:14">
      <c r="A123" s="44" t="str">
        <f t="shared" si="1"/>
        <v>1_2012-06-01</v>
      </c>
      <c r="B123" s="50">
        <v>1</v>
      </c>
      <c r="C123" s="42">
        <v>41061</v>
      </c>
      <c r="D123" s="46">
        <v>77.95</v>
      </c>
      <c r="E123" s="46">
        <v>3.5009999999999999</v>
      </c>
      <c r="F123" s="46">
        <v>6086.21</v>
      </c>
      <c r="G123" s="46">
        <v>12</v>
      </c>
      <c r="H123" s="46">
        <v>370.51</v>
      </c>
      <c r="I123" s="46">
        <v>148.75</v>
      </c>
      <c r="J123" s="46">
        <v>3690.85</v>
      </c>
      <c r="K123" s="46">
        <v>221.74721389999999</v>
      </c>
      <c r="L123" s="46">
        <v>7.1429999999999998</v>
      </c>
      <c r="M123" s="48" t="b">
        <v>0</v>
      </c>
      <c r="N123" s="46">
        <v>10308.32</v>
      </c>
    </row>
    <row r="124" spans="1:14">
      <c r="A124" s="44" t="str">
        <f t="shared" si="1"/>
        <v>1_2012-06-08</v>
      </c>
      <c r="B124" s="50">
        <v>1</v>
      </c>
      <c r="C124" s="42">
        <v>41068</v>
      </c>
      <c r="D124" s="46">
        <v>78.3</v>
      </c>
      <c r="E124" s="46">
        <v>3.452</v>
      </c>
      <c r="F124" s="46">
        <v>8813.81</v>
      </c>
      <c r="G124" s="46">
        <v>116.8</v>
      </c>
      <c r="H124" s="46">
        <v>64.55</v>
      </c>
      <c r="I124" s="46">
        <v>2652.04</v>
      </c>
      <c r="J124" s="46">
        <v>7161.91</v>
      </c>
      <c r="K124" s="46">
        <v>221.7494839</v>
      </c>
      <c r="L124" s="46">
        <v>7.1429999999999998</v>
      </c>
      <c r="M124" s="48" t="b">
        <v>0</v>
      </c>
      <c r="N124" s="46">
        <v>18809.11</v>
      </c>
    </row>
    <row r="125" spans="1:14">
      <c r="A125" s="44" t="str">
        <f t="shared" si="1"/>
        <v>1_2012-06-15</v>
      </c>
      <c r="B125" s="50">
        <v>1</v>
      </c>
      <c r="C125" s="42">
        <v>41075</v>
      </c>
      <c r="D125" s="46">
        <v>79.349999999999994</v>
      </c>
      <c r="E125" s="46">
        <v>3.3929999999999998</v>
      </c>
      <c r="F125" s="46">
        <v>5621.99</v>
      </c>
      <c r="G125" s="46">
        <v>109.6</v>
      </c>
      <c r="H125" s="46">
        <v>0.25</v>
      </c>
      <c r="I125" s="46">
        <v>2420.2800000000002</v>
      </c>
      <c r="J125" s="46">
        <v>3083.26</v>
      </c>
      <c r="K125" s="46">
        <v>221.76264209999999</v>
      </c>
      <c r="L125" s="46">
        <v>7.1429999999999998</v>
      </c>
      <c r="M125" s="48" t="b">
        <v>0</v>
      </c>
      <c r="N125" s="46">
        <v>11235.38</v>
      </c>
    </row>
    <row r="126" spans="1:14">
      <c r="A126" s="44" t="str">
        <f t="shared" si="1"/>
        <v>1_2012-06-22</v>
      </c>
      <c r="B126" s="50">
        <v>1</v>
      </c>
      <c r="C126" s="42">
        <v>41082</v>
      </c>
      <c r="D126" s="46">
        <v>78.39</v>
      </c>
      <c r="E126" s="46">
        <v>3.3460000000000001</v>
      </c>
      <c r="F126" s="46">
        <v>8624.56</v>
      </c>
      <c r="G126" s="46">
        <v>171.25</v>
      </c>
      <c r="H126" s="46">
        <v>3.05</v>
      </c>
      <c r="I126" s="46">
        <v>2524.0700000000002</v>
      </c>
      <c r="J126" s="46">
        <v>7063.68</v>
      </c>
      <c r="K126" s="46">
        <v>221.8030211</v>
      </c>
      <c r="L126" s="46">
        <v>7.1429999999999998</v>
      </c>
      <c r="M126" s="48" t="b">
        <v>0</v>
      </c>
      <c r="N126" s="46">
        <v>18386.61</v>
      </c>
    </row>
    <row r="127" spans="1:14">
      <c r="A127" s="44" t="str">
        <f t="shared" si="1"/>
        <v>1_2012-06-29</v>
      </c>
      <c r="B127" s="50">
        <v>1</v>
      </c>
      <c r="C127" s="42">
        <v>41089</v>
      </c>
      <c r="D127" s="46">
        <v>84.88</v>
      </c>
      <c r="E127" s="46">
        <v>3.286</v>
      </c>
      <c r="F127" s="46">
        <v>3965.73</v>
      </c>
      <c r="G127" s="46">
        <v>161.6</v>
      </c>
      <c r="H127" s="46" t="s">
        <v>83</v>
      </c>
      <c r="I127" s="46">
        <v>435.99</v>
      </c>
      <c r="J127" s="46">
        <v>4212.97</v>
      </c>
      <c r="K127" s="46">
        <v>221.8434</v>
      </c>
      <c r="L127" s="46">
        <v>7.1429999999999998</v>
      </c>
      <c r="M127" s="48" t="b">
        <v>0</v>
      </c>
      <c r="N127" s="46">
        <v>8776.2900000000009</v>
      </c>
    </row>
    <row r="128" spans="1:14">
      <c r="A128" s="44" t="str">
        <f t="shared" si="1"/>
        <v>1_2012-07-06</v>
      </c>
      <c r="B128" s="50">
        <v>1</v>
      </c>
      <c r="C128" s="42">
        <v>41096</v>
      </c>
      <c r="D128" s="46">
        <v>81.569999999999993</v>
      </c>
      <c r="E128" s="46">
        <v>3.2269999999999999</v>
      </c>
      <c r="F128" s="46">
        <v>12218.76</v>
      </c>
      <c r="G128" s="46">
        <v>94.4</v>
      </c>
      <c r="H128" s="46">
        <v>192.83</v>
      </c>
      <c r="I128" s="46">
        <v>4066.01</v>
      </c>
      <c r="J128" s="46">
        <v>6149.04</v>
      </c>
      <c r="K128" s="46">
        <v>221.88377890000001</v>
      </c>
      <c r="L128" s="46">
        <v>6.9080000000000004</v>
      </c>
      <c r="M128" s="48" t="b">
        <v>0</v>
      </c>
      <c r="N128" s="46">
        <v>22721.040000000001</v>
      </c>
    </row>
    <row r="129" spans="1:14">
      <c r="A129" s="44" t="str">
        <f t="shared" si="1"/>
        <v>1_2012-07-13</v>
      </c>
      <c r="B129" s="50">
        <v>1</v>
      </c>
      <c r="C129" s="42">
        <v>41103</v>
      </c>
      <c r="D129" s="46">
        <v>77.12</v>
      </c>
      <c r="E129" s="46">
        <v>3.2559999999999998</v>
      </c>
      <c r="F129" s="46">
        <v>7218.13</v>
      </c>
      <c r="G129" s="46">
        <v>45.2</v>
      </c>
      <c r="H129" s="46">
        <v>36.24</v>
      </c>
      <c r="I129" s="46">
        <v>3909.38</v>
      </c>
      <c r="J129" s="46">
        <v>2596.37</v>
      </c>
      <c r="K129" s="46">
        <v>221.92415790000001</v>
      </c>
      <c r="L129" s="46">
        <v>6.9080000000000004</v>
      </c>
      <c r="M129" s="48" t="b">
        <v>0</v>
      </c>
      <c r="N129" s="46">
        <v>13805.32</v>
      </c>
    </row>
    <row r="130" spans="1:14">
      <c r="A130" s="44" t="str">
        <f t="shared" si="1"/>
        <v>1_2012-07-20</v>
      </c>
      <c r="B130" s="50">
        <v>1</v>
      </c>
      <c r="C130" s="42">
        <v>41110</v>
      </c>
      <c r="D130" s="46">
        <v>80.42</v>
      </c>
      <c r="E130" s="46">
        <v>3.3109999999999999</v>
      </c>
      <c r="F130" s="46">
        <v>3213</v>
      </c>
      <c r="G130" s="46">
        <v>313.72000000000003</v>
      </c>
      <c r="H130" s="46">
        <v>9.5299999999999994</v>
      </c>
      <c r="I130" s="46">
        <v>2262.02</v>
      </c>
      <c r="J130" s="46">
        <v>3228.19</v>
      </c>
      <c r="K130" s="46">
        <v>221.93272669999999</v>
      </c>
      <c r="L130" s="46">
        <v>6.9080000000000004</v>
      </c>
      <c r="M130" s="48" t="b">
        <v>0</v>
      </c>
      <c r="N130" s="46">
        <v>9026.4599999999991</v>
      </c>
    </row>
    <row r="131" spans="1:14">
      <c r="A131" s="44" t="str">
        <f t="shared" ref="A131:A144" si="2" xml:space="preserve"> B131 &amp; "_" &amp; TEXT(C131,"yyyy-mm-dd")</f>
        <v>1_2012-07-27</v>
      </c>
      <c r="B131" s="50">
        <v>1</v>
      </c>
      <c r="C131" s="42">
        <v>41117</v>
      </c>
      <c r="D131" s="46">
        <v>82.66</v>
      </c>
      <c r="E131" s="46">
        <v>3.407</v>
      </c>
      <c r="F131" s="46">
        <v>7146.9</v>
      </c>
      <c r="G131" s="46">
        <v>389.02</v>
      </c>
      <c r="H131" s="46">
        <v>1.59</v>
      </c>
      <c r="I131" s="46">
        <v>10267.540000000001</v>
      </c>
      <c r="J131" s="46">
        <v>4325.1899999999996</v>
      </c>
      <c r="K131" s="46">
        <v>221.9412954</v>
      </c>
      <c r="L131" s="46">
        <v>6.9080000000000004</v>
      </c>
      <c r="M131" s="48" t="b">
        <v>0</v>
      </c>
      <c r="N131" s="46">
        <v>22130.240000000002</v>
      </c>
    </row>
    <row r="132" spans="1:14">
      <c r="A132" s="44" t="str">
        <f t="shared" si="2"/>
        <v>1_2012-08-03</v>
      </c>
      <c r="B132" s="50">
        <v>1</v>
      </c>
      <c r="C132" s="42">
        <v>41124</v>
      </c>
      <c r="D132" s="46">
        <v>86.11</v>
      </c>
      <c r="E132" s="46">
        <v>3.4169999999999998</v>
      </c>
      <c r="F132" s="46">
        <v>27584.78</v>
      </c>
      <c r="G132" s="46">
        <v>119.98</v>
      </c>
      <c r="H132" s="46">
        <v>30.23</v>
      </c>
      <c r="I132" s="46">
        <v>12007.04</v>
      </c>
      <c r="J132" s="46">
        <v>4661.71</v>
      </c>
      <c r="K132" s="46">
        <v>221.94986420000001</v>
      </c>
      <c r="L132" s="46">
        <v>6.9080000000000004</v>
      </c>
      <c r="M132" s="48" t="b">
        <v>0</v>
      </c>
      <c r="N132" s="46">
        <v>44403.74</v>
      </c>
    </row>
    <row r="133" spans="1:14">
      <c r="A133" s="44" t="str">
        <f t="shared" si="2"/>
        <v>1_2012-08-10</v>
      </c>
      <c r="B133" s="50">
        <v>1</v>
      </c>
      <c r="C133" s="42">
        <v>41131</v>
      </c>
      <c r="D133" s="46">
        <v>85.05</v>
      </c>
      <c r="E133" s="46">
        <v>3.4940000000000002</v>
      </c>
      <c r="F133" s="46">
        <v>11436.22</v>
      </c>
      <c r="G133" s="46">
        <v>245</v>
      </c>
      <c r="H133" s="46">
        <v>6.85</v>
      </c>
      <c r="I133" s="46">
        <v>6964.26</v>
      </c>
      <c r="J133" s="46">
        <v>4836.22</v>
      </c>
      <c r="K133" s="46">
        <v>221.95843289999999</v>
      </c>
      <c r="L133" s="46">
        <v>6.9080000000000004</v>
      </c>
      <c r="M133" s="48" t="b">
        <v>0</v>
      </c>
      <c r="N133" s="46">
        <v>23488.55</v>
      </c>
    </row>
    <row r="134" spans="1:14">
      <c r="A134" s="44" t="str">
        <f t="shared" si="2"/>
        <v>1_2012-08-17</v>
      </c>
      <c r="B134" s="50">
        <v>1</v>
      </c>
      <c r="C134" s="42">
        <v>41138</v>
      </c>
      <c r="D134" s="46">
        <v>84.85</v>
      </c>
      <c r="E134" s="46">
        <v>3.5710000000000002</v>
      </c>
      <c r="F134" s="46">
        <v>3662.06</v>
      </c>
      <c r="G134" s="46">
        <v>137.86000000000001</v>
      </c>
      <c r="H134" s="46">
        <v>4.84</v>
      </c>
      <c r="I134" s="46">
        <v>2752.2</v>
      </c>
      <c r="J134" s="46">
        <v>3446.15</v>
      </c>
      <c r="K134" s="46">
        <v>222.0384109</v>
      </c>
      <c r="L134" s="46">
        <v>6.9080000000000004</v>
      </c>
      <c r="M134" s="48" t="b">
        <v>0</v>
      </c>
      <c r="N134" s="46">
        <v>10003.11</v>
      </c>
    </row>
    <row r="135" spans="1:14">
      <c r="A135" s="44" t="str">
        <f t="shared" si="2"/>
        <v>1_2012-08-24</v>
      </c>
      <c r="B135" s="50">
        <v>1</v>
      </c>
      <c r="C135" s="42">
        <v>41145</v>
      </c>
      <c r="D135" s="46">
        <v>77.66</v>
      </c>
      <c r="E135" s="46">
        <v>3.62</v>
      </c>
      <c r="F135" s="46">
        <v>6237.83</v>
      </c>
      <c r="G135" s="46">
        <v>260.06</v>
      </c>
      <c r="H135" s="46">
        <v>2.97</v>
      </c>
      <c r="I135" s="46">
        <v>3463.03</v>
      </c>
      <c r="J135" s="46">
        <v>7988.25</v>
      </c>
      <c r="K135" s="46">
        <v>222.17194570000001</v>
      </c>
      <c r="L135" s="46">
        <v>6.9080000000000004</v>
      </c>
      <c r="M135" s="48" t="b">
        <v>0</v>
      </c>
      <c r="N135" s="46">
        <v>17952.14</v>
      </c>
    </row>
    <row r="136" spans="1:14">
      <c r="A136" s="44" t="str">
        <f t="shared" si="2"/>
        <v>1_2012-08-31</v>
      </c>
      <c r="B136" s="50">
        <v>1</v>
      </c>
      <c r="C136" s="42">
        <v>41152</v>
      </c>
      <c r="D136" s="46">
        <v>80.489999999999995</v>
      </c>
      <c r="E136" s="46">
        <v>3.6379999999999999</v>
      </c>
      <c r="F136" s="46">
        <v>21442.73</v>
      </c>
      <c r="G136" s="46">
        <v>102.32</v>
      </c>
      <c r="H136" s="46">
        <v>21.7</v>
      </c>
      <c r="I136" s="46">
        <v>13209.64</v>
      </c>
      <c r="J136" s="46">
        <v>3032.96</v>
      </c>
      <c r="K136" s="46">
        <v>222.30548049999999</v>
      </c>
      <c r="L136" s="46">
        <v>6.9080000000000004</v>
      </c>
      <c r="M136" s="48" t="b">
        <v>0</v>
      </c>
      <c r="N136" s="46">
        <v>37809.35</v>
      </c>
    </row>
    <row r="137" spans="1:14">
      <c r="A137" s="44" t="str">
        <f t="shared" si="2"/>
        <v>1_2012-09-07</v>
      </c>
      <c r="B137" s="50">
        <v>1</v>
      </c>
      <c r="C137" s="42">
        <v>41159</v>
      </c>
      <c r="D137" s="46">
        <v>83.96</v>
      </c>
      <c r="E137" s="46">
        <v>3.73</v>
      </c>
      <c r="F137" s="46">
        <v>5204.68</v>
      </c>
      <c r="G137" s="46">
        <v>35.74</v>
      </c>
      <c r="H137" s="46">
        <v>50.94</v>
      </c>
      <c r="I137" s="46">
        <v>4120.32</v>
      </c>
      <c r="J137" s="46">
        <v>2737.17</v>
      </c>
      <c r="K137" s="46">
        <v>222.43901529999999</v>
      </c>
      <c r="L137" s="46">
        <v>6.9080000000000004</v>
      </c>
      <c r="M137" s="48" t="b">
        <v>1</v>
      </c>
      <c r="N137" s="46">
        <v>12148.85</v>
      </c>
    </row>
    <row r="138" spans="1:14">
      <c r="A138" s="44" t="str">
        <f t="shared" si="2"/>
        <v>1_2012-09-14</v>
      </c>
      <c r="B138" s="50">
        <v>1</v>
      </c>
      <c r="C138" s="42">
        <v>41166</v>
      </c>
      <c r="D138" s="46">
        <v>74.97</v>
      </c>
      <c r="E138" s="46">
        <v>3.7170000000000001</v>
      </c>
      <c r="F138" s="46">
        <v>17212.52</v>
      </c>
      <c r="G138" s="46">
        <v>7</v>
      </c>
      <c r="H138" s="46">
        <v>18.79</v>
      </c>
      <c r="I138" s="46">
        <v>1523.11</v>
      </c>
      <c r="J138" s="46">
        <v>7992.72</v>
      </c>
      <c r="K138" s="46">
        <v>222.58201930000001</v>
      </c>
      <c r="L138" s="46">
        <v>6.9080000000000004</v>
      </c>
      <c r="M138" s="48" t="b">
        <v>0</v>
      </c>
      <c r="N138" s="46">
        <v>26754.14</v>
      </c>
    </row>
    <row r="139" spans="1:14">
      <c r="A139" s="44" t="str">
        <f t="shared" si="2"/>
        <v>1_2012-09-21</v>
      </c>
      <c r="B139" s="50">
        <v>1</v>
      </c>
      <c r="C139" s="42">
        <v>41173</v>
      </c>
      <c r="D139" s="46">
        <v>69.87</v>
      </c>
      <c r="E139" s="46">
        <v>3.7210000000000001</v>
      </c>
      <c r="F139" s="46">
        <v>6352.3</v>
      </c>
      <c r="G139" s="46">
        <v>7.64</v>
      </c>
      <c r="H139" s="46">
        <v>4.6900000000000004</v>
      </c>
      <c r="I139" s="46">
        <v>1010.06</v>
      </c>
      <c r="J139" s="46">
        <v>6456.71</v>
      </c>
      <c r="K139" s="46">
        <v>222.78183859999999</v>
      </c>
      <c r="L139" s="46">
        <v>6.9080000000000004</v>
      </c>
      <c r="M139" s="48" t="b">
        <v>0</v>
      </c>
      <c r="N139" s="46">
        <v>13831.4</v>
      </c>
    </row>
    <row r="140" spans="1:14">
      <c r="A140" s="44" t="str">
        <f t="shared" si="2"/>
        <v>1_2012-09-28</v>
      </c>
      <c r="B140" s="50">
        <v>1</v>
      </c>
      <c r="C140" s="42">
        <v>41180</v>
      </c>
      <c r="D140" s="46">
        <v>76.08</v>
      </c>
      <c r="E140" s="46">
        <v>3.6659999999999999</v>
      </c>
      <c r="F140" s="46">
        <v>3666.27</v>
      </c>
      <c r="G140" s="46">
        <v>7.64</v>
      </c>
      <c r="H140" s="46">
        <v>1.65</v>
      </c>
      <c r="I140" s="46">
        <v>1417.96</v>
      </c>
      <c r="J140" s="46">
        <v>4744.28</v>
      </c>
      <c r="K140" s="46">
        <v>222.98165789999999</v>
      </c>
      <c r="L140" s="46">
        <v>6.9080000000000004</v>
      </c>
      <c r="M140" s="48" t="b">
        <v>0</v>
      </c>
      <c r="N140" s="46">
        <v>9837.7999999999993</v>
      </c>
    </row>
    <row r="141" spans="1:14">
      <c r="A141" s="44" t="str">
        <f t="shared" si="2"/>
        <v>1_2012-10-05</v>
      </c>
      <c r="B141" s="50">
        <v>1</v>
      </c>
      <c r="C141" s="42">
        <v>41187</v>
      </c>
      <c r="D141" s="46">
        <v>68.55</v>
      </c>
      <c r="E141" s="46">
        <v>3.617</v>
      </c>
      <c r="F141" s="46">
        <v>8077.89</v>
      </c>
      <c r="G141" s="46" t="s">
        <v>83</v>
      </c>
      <c r="H141" s="46">
        <v>18.22</v>
      </c>
      <c r="I141" s="46">
        <v>3617.43</v>
      </c>
      <c r="J141" s="46">
        <v>3626.14</v>
      </c>
      <c r="K141" s="46">
        <v>223.18147719999999</v>
      </c>
      <c r="L141" s="46">
        <v>6.5730000000000004</v>
      </c>
      <c r="M141" s="48" t="b">
        <v>0</v>
      </c>
      <c r="N141" s="46">
        <v>15339.68</v>
      </c>
    </row>
    <row r="142" spans="1:14">
      <c r="A142" s="44" t="str">
        <f t="shared" si="2"/>
        <v>1_2012-10-12</v>
      </c>
      <c r="B142" s="50">
        <v>1</v>
      </c>
      <c r="C142" s="42">
        <v>41194</v>
      </c>
      <c r="D142" s="46">
        <v>62.99</v>
      </c>
      <c r="E142" s="46">
        <v>3.601</v>
      </c>
      <c r="F142" s="46">
        <v>2086.1799999999998</v>
      </c>
      <c r="G142" s="46" t="s">
        <v>83</v>
      </c>
      <c r="H142" s="46">
        <v>8.11</v>
      </c>
      <c r="I142" s="46">
        <v>602.36</v>
      </c>
      <c r="J142" s="46">
        <v>5926.45</v>
      </c>
      <c r="K142" s="46">
        <v>223.38129649999999</v>
      </c>
      <c r="L142" s="46">
        <v>6.5730000000000004</v>
      </c>
      <c r="M142" s="48" t="b">
        <v>0</v>
      </c>
      <c r="N142" s="46">
        <v>8623.1</v>
      </c>
    </row>
    <row r="143" spans="1:14">
      <c r="A143" s="44" t="str">
        <f t="shared" si="2"/>
        <v>1_2012-10-19</v>
      </c>
      <c r="B143" s="50">
        <v>1</v>
      </c>
      <c r="C143" s="42">
        <v>41201</v>
      </c>
      <c r="D143" s="46">
        <v>67.97</v>
      </c>
      <c r="E143" s="46">
        <v>3.5939999999999999</v>
      </c>
      <c r="F143" s="46">
        <v>950.33</v>
      </c>
      <c r="G143" s="46" t="s">
        <v>83</v>
      </c>
      <c r="H143" s="46">
        <v>4.93</v>
      </c>
      <c r="I143" s="46">
        <v>80.25</v>
      </c>
      <c r="J143" s="46">
        <v>2312.85</v>
      </c>
      <c r="K143" s="46">
        <v>223.42572329999999</v>
      </c>
      <c r="L143" s="46">
        <v>6.5730000000000004</v>
      </c>
      <c r="M143" s="48" t="b">
        <v>0</v>
      </c>
      <c r="N143" s="46">
        <v>3348.36</v>
      </c>
    </row>
    <row r="144" spans="1:14">
      <c r="A144" s="44" t="str">
        <f t="shared" si="2"/>
        <v>1_2012-10-26</v>
      </c>
      <c r="B144" s="50">
        <v>1</v>
      </c>
      <c r="C144" s="42">
        <v>41208</v>
      </c>
      <c r="D144" s="46">
        <v>69.16</v>
      </c>
      <c r="E144" s="46">
        <v>3.5059999999999998</v>
      </c>
      <c r="F144" s="46">
        <v>2585.85</v>
      </c>
      <c r="G144" s="46">
        <v>31.75</v>
      </c>
      <c r="H144" s="46">
        <v>6</v>
      </c>
      <c r="I144" s="46">
        <v>1057.1600000000001</v>
      </c>
      <c r="J144" s="46">
        <v>1305.01</v>
      </c>
      <c r="K144" s="46">
        <v>223.44425129999999</v>
      </c>
      <c r="L144" s="46">
        <v>6.5730000000000004</v>
      </c>
      <c r="M144" s="48" t="b">
        <v>0</v>
      </c>
      <c r="N144" s="46">
        <v>4985.7700000000004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2025-12-22T08:30:44Z</dcterms:created>
  <dcterms:modified xsi:type="dcterms:W3CDTF">2025-12-24T11:12:31Z</dcterms:modified>
  <cp:category/>
  <cp:contentStatus/>
</cp:coreProperties>
</file>